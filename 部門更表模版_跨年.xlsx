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  <sheet name="設定" sheetId="2" state="visible" r:id="rId2"/>
    <sheet name="請假登記" sheetId="3" state="visible" r:id="rId3"/>
    <sheet name="本月排班日曆" sheetId="4" state="visible" r:id="rId4"/>
    <sheet name="假期上班登記" sheetId="5" state="visible" r:id="rId5"/>
    <sheet name="公眾假期" sheetId="6" state="visible" r:id="rId6"/>
    <sheet name="使用提示" sheetId="7" state="visible" r:id="rId7"/>
  </sheets>
  <definedNames>
    <definedName name="EmpNames">'設定'!$B$8:$B$13</definedName>
    <definedName name="HolidayDates">'公眾假期'!$A$5:$A$84</definedName>
    <definedName name="HolidayNames">'公眾假期'!$B$5:$B$84</definedName>
    <definedName name="LeaveName">'請假登記'!$A$5:$A$504</definedName>
    <definedName name="LeaveDate">'請假登記'!$B$5:$B$504</definedName>
    <definedName name="LeaveType">'請假登記'!$C$5:$C$504</definedName>
    <definedName name="CompYear1">'假期上班登記'!$C$89</definedName>
    <definedName name="CompYear2">'假期上班登記'!$C$90</definedName>
    <definedName name="CompYear3">'假期上班登記'!$C$91</definedName>
    <definedName name="CompYear4">'假期上班登記'!$C$92</definedName>
    <definedName name="CompYear5">'假期上班登記'!$C$93</definedName>
    <definedName name="CompYear6">'假期上班登記'!$C$94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/D"/>
  </numFmts>
  <fonts count="11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sz val="10"/>
    </font>
    <font>
      <name val="Microsoft JhengHei"/>
      <b val="1"/>
      <color rgb="00C00000"/>
      <sz val="14"/>
    </font>
    <font>
      <name val="Microsoft JhengHei"/>
      <i val="1"/>
      <color rgb="00C00000"/>
      <sz val="9"/>
    </font>
    <font>
      <name val="Microsoft JhengHei"/>
      <sz val="8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b val="1"/>
      <color rgb="001F4E79"/>
      <sz val="14"/>
    </font>
    <font>
      <name val="Microsoft JhengHei"/>
      <sz val="7"/>
    </font>
    <font>
      <name val="Microsoft JhengHei"/>
      <sz val="10"/>
    </font>
  </fonts>
  <fills count="18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F4B183"/>
      </patternFill>
    </fill>
    <fill>
      <patternFill patternType="solid">
        <fgColor rgb="00E2D5F1"/>
      </patternFill>
    </fill>
    <fill>
      <patternFill patternType="solid">
        <fgColor rgb="00F8F9F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2" fillId="11" borderId="0" pivotButton="0" quotePrefix="0" xfId="0"/>
    <xf numFmtId="165" fontId="2" fillId="0" borderId="0" pivotButton="0" quotePrefix="0" xfId="0"/>
    <xf numFmtId="165" fontId="0" fillId="16" borderId="1" pivotButton="0" quotePrefix="0" xfId="0"/>
    <xf numFmtId="0" fontId="0" fillId="16" borderId="1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7" borderId="1" pivotButton="0" quotePrefix="0" xfId="0"/>
    <xf numFmtId="0" fontId="2" fillId="1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12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5" fontId="2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0" borderId="0" applyAlignment="1" pivotButton="0" quotePrefix="0" xfId="0">
      <alignment horizontal="center" vertical="center" wrapText="1"/>
    </xf>
    <xf numFmtId="165" fontId="0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165" fontId="0" fillId="0" borderId="0" pivotButton="0" quotePrefix="0" xfId="0"/>
    <xf numFmtId="166" fontId="7" fillId="1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9" fillId="17" borderId="1" pivotButton="0" quotePrefix="0" xfId="0"/>
    <xf numFmtId="165" fontId="0" fillId="13" borderId="1" pivotButton="0" quotePrefix="0" xfId="0"/>
    <xf numFmtId="0" fontId="0" fillId="13" borderId="1" pivotButton="0" quotePrefix="0" xfId="0"/>
    <xf numFmtId="0" fontId="7" fillId="14" borderId="0" pivotButton="0" quotePrefix="0" xfId="0"/>
    <xf numFmtId="0" fontId="2" fillId="0" borderId="1" pivotButton="0" quotePrefix="0" xfId="0"/>
    <xf numFmtId="165" fontId="0" fillId="12" borderId="1" pivotButton="0" quotePrefix="0" xfId="0"/>
    <xf numFmtId="0" fontId="0" fillId="0" borderId="1" pivotButton="0" quotePrefix="0" xfId="0"/>
    <xf numFmtId="165" fontId="0" fillId="2" borderId="1" pivotButton="0" quotePrefix="0" xfId="0"/>
    <xf numFmtId="0" fontId="0" fillId="2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FFFFF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E2D5F1"/>
        </patternFill>
      </fill>
    </dxf>
    <dxf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LeaveTable" displayName="LeaveTable" ref="A4:C504" headerRowCount="1">
  <autoFilter ref="A4:C504"/>
  <tableColumns count="3">
    <tableColumn id="1" name="員工姓名"/>
    <tableColumn id="2" name="請假日期"/>
    <tableColumn id="3" name="假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8"/>
  <sheetViews>
    <sheetView workbookViewId="0">
      <pane xSplit="6" ySplit="13" topLeftCell="G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</cols>
  <sheetData>
    <row r="1">
      <c r="A1" s="1" t="inlineStr">
        <is>
          <t>部門輪班更表（跨年模版）</t>
        </is>
      </c>
      <c r="F1" s="2" t="inlineStr">
        <is>
          <t>顯示年份</t>
        </is>
      </c>
      <c r="G1" s="3">
        <f>'設定'!$B$3</f>
        <v/>
      </c>
    </row>
    <row r="3">
      <c r="A3" s="4" t="inlineStr">
        <is>
          <t>本週／下週快覽</t>
        </is>
      </c>
    </row>
    <row r="4">
      <c r="A4" t="inlineStr">
        <is>
          <t>今天</t>
        </is>
      </c>
      <c r="B4" s="5">
        <f>TODAY()</f>
        <v/>
      </c>
    </row>
    <row r="5">
      <c r="A5" t="inlineStr">
        <is>
          <t>本週起始（一）</t>
        </is>
      </c>
      <c r="B5" s="6">
        <f>B4-WEEKDAY(B4,2)+1</f>
        <v/>
      </c>
      <c r="D5" t="inlineStr">
        <is>
          <t>本週欄位</t>
        </is>
      </c>
      <c r="E5" s="7">
        <f>IFERROR(MATCH(B5,$G$13:$BG$13,0),"非本年")</f>
        <v/>
      </c>
    </row>
    <row r="6">
      <c r="A6" t="inlineStr">
        <is>
          <t>下週起始（一）</t>
        </is>
      </c>
      <c r="B6" s="6">
        <f>B5+7</f>
        <v/>
      </c>
      <c r="D6" t="inlineStr">
        <is>
          <t>下週欄位</t>
        </is>
      </c>
      <c r="E6" s="7">
        <f>IFERROR(MATCH(B6,$G$13:$BG$13,0),"非本年")</f>
        <v/>
      </c>
    </row>
    <row r="8">
      <c r="A8" s="8" t="inlineStr">
        <is>
          <t>人員</t>
        </is>
      </c>
      <c r="B8" s="8" t="inlineStr">
        <is>
          <t>本週班次</t>
        </is>
      </c>
      <c r="C8" s="8" t="inlineStr">
        <is>
          <t>下週班次</t>
        </is>
      </c>
      <c r="D8" s="2" t="inlineStr">
        <is>
          <t>圖例</t>
        </is>
      </c>
      <c r="E8" s="9" t="inlineStr">
        <is>
          <t>S</t>
        </is>
      </c>
      <c r="F8" s="10" t="inlineStr">
        <is>
          <t>A</t>
        </is>
      </c>
      <c r="G8" s="11" t="inlineStr">
        <is>
          <t>P</t>
        </is>
      </c>
      <c r="H8" s="12" t="inlineStr">
        <is>
          <t>N</t>
        </is>
      </c>
      <c r="I8" s="13" t="inlineStr">
        <is>
          <t>AL</t>
        </is>
      </c>
      <c r="J8" s="8" t="inlineStr">
        <is>
          <t>SL</t>
        </is>
      </c>
    </row>
    <row r="9">
      <c r="A9" s="14">
        <f>'設定'!B8</f>
        <v/>
      </c>
      <c r="B9" s="15">
        <f>IF(OR($E$5="",$E$5="非本年"),"",IFERROR(INDEX($G14:$BG14,$E$5),""))</f>
        <v/>
      </c>
      <c r="C9" s="15">
        <f>IF(OR($E$6="",$E$6="非本年"),"",IFERROR(INDEX($G14:$BG14,$E$6),""))</f>
        <v/>
      </c>
    </row>
    <row r="10">
      <c r="A10" s="14">
        <f>'設定'!B9</f>
        <v/>
      </c>
      <c r="B10" s="15">
        <f>IF(OR($E$5="",$E$5="非本年"),"",IFERROR(INDEX($G15:$BG15,$E$5),""))</f>
        <v/>
      </c>
      <c r="C10" s="15">
        <f>IF(OR($E$6="",$E$6="非本年"),"",IFERROR(INDEX($G15:$BG15,$E$6),""))</f>
        <v/>
      </c>
    </row>
    <row r="11">
      <c r="A11" s="14">
        <f>'設定'!B10</f>
        <v/>
      </c>
      <c r="B11" s="15">
        <f>IF(OR($E$5="",$E$5="非本年"),"",IFERROR(INDEX($G16:$BG16,$E$5),""))</f>
        <v/>
      </c>
      <c r="C11" s="15">
        <f>IF(OR($E$6="",$E$6="非本年"),"",IFERROR(INDEX($G16:$BG16,$E$6),""))</f>
        <v/>
      </c>
    </row>
    <row r="12">
      <c r="A12" s="14" t="inlineStr">
        <is>
          <t>全年排班主表｜請假請到「請假登記」逐日登錄｜補假請到「假期上班登記」｜月曆檢視見「本月排班日曆」</t>
        </is>
      </c>
      <c r="B12" s="16" t="n"/>
      <c r="C12" s="16" t="n"/>
      <c r="D12" s="16" t="n"/>
      <c r="E12" s="16" t="n"/>
      <c r="F12" s="17" t="n"/>
    </row>
    <row r="13" ht="32" customHeight="1">
      <c r="A13" s="18" t="inlineStr">
        <is>
          <t>員工姓名</t>
        </is>
      </c>
      <c r="B13" s="18" t="inlineStr">
        <is>
          <t>已用年假
(本年)</t>
        </is>
      </c>
      <c r="C13" s="18" t="inlineStr">
        <is>
          <t>剩餘年假
(本年)</t>
        </is>
      </c>
      <c r="D13" s="18" t="inlineStr">
        <is>
          <t>累積補假
結餘</t>
        </is>
      </c>
      <c r="E13" s="18" t="inlineStr">
        <is>
          <t>期初補假
(可調)</t>
        </is>
      </c>
      <c r="F13" s="18" t="inlineStr">
        <is>
          <t>本年新增
補假</t>
        </is>
      </c>
      <c r="G13" s="19">
        <f>IF(((DATE('設定'!$B$3,1,1)+MOD(8-WEEKDAY(DATE('設定'!$B$3,1,1),2),7))+0*7)&gt;DATE('設定'!$B$3,12,31),"",(DATE('設定'!$B$3,1,1)+MOD(8-WEEKDAY(DATE('設定'!$B$3,1,1),2),7))+0*7)</f>
        <v/>
      </c>
      <c r="H13" s="19">
        <f>IF(((DATE('設定'!$B$3,1,1)+MOD(8-WEEKDAY(DATE('設定'!$B$3,1,1),2),7))+1*7)&gt;DATE('設定'!$B$3,12,31),"",(DATE('設定'!$B$3,1,1)+MOD(8-WEEKDAY(DATE('設定'!$B$3,1,1),2),7))+1*7)</f>
        <v/>
      </c>
      <c r="I13" s="19">
        <f>IF(((DATE('設定'!$B$3,1,1)+MOD(8-WEEKDAY(DATE('設定'!$B$3,1,1),2),7))+2*7)&gt;DATE('設定'!$B$3,12,31),"",(DATE('設定'!$B$3,1,1)+MOD(8-WEEKDAY(DATE('設定'!$B$3,1,1),2),7))+2*7)</f>
        <v/>
      </c>
      <c r="J13" s="19">
        <f>IF(((DATE('設定'!$B$3,1,1)+MOD(8-WEEKDAY(DATE('設定'!$B$3,1,1),2),7))+3*7)&gt;DATE('設定'!$B$3,12,31),"",(DATE('設定'!$B$3,1,1)+MOD(8-WEEKDAY(DATE('設定'!$B$3,1,1),2),7))+3*7)</f>
        <v/>
      </c>
      <c r="K13" s="19">
        <f>IF(((DATE('設定'!$B$3,1,1)+MOD(8-WEEKDAY(DATE('設定'!$B$3,1,1),2),7))+4*7)&gt;DATE('設定'!$B$3,12,31),"",(DATE('設定'!$B$3,1,1)+MOD(8-WEEKDAY(DATE('設定'!$B$3,1,1),2),7))+4*7)</f>
        <v/>
      </c>
      <c r="L13" s="19">
        <f>IF(((DATE('設定'!$B$3,1,1)+MOD(8-WEEKDAY(DATE('設定'!$B$3,1,1),2),7))+5*7)&gt;DATE('設定'!$B$3,12,31),"",(DATE('設定'!$B$3,1,1)+MOD(8-WEEKDAY(DATE('設定'!$B$3,1,1),2),7))+5*7)</f>
        <v/>
      </c>
      <c r="M13" s="19">
        <f>IF(((DATE('設定'!$B$3,1,1)+MOD(8-WEEKDAY(DATE('設定'!$B$3,1,1),2),7))+6*7)&gt;DATE('設定'!$B$3,12,31),"",(DATE('設定'!$B$3,1,1)+MOD(8-WEEKDAY(DATE('設定'!$B$3,1,1),2),7))+6*7)</f>
        <v/>
      </c>
      <c r="N13" s="19">
        <f>IF(((DATE('設定'!$B$3,1,1)+MOD(8-WEEKDAY(DATE('設定'!$B$3,1,1),2),7))+7*7)&gt;DATE('設定'!$B$3,12,31),"",(DATE('設定'!$B$3,1,1)+MOD(8-WEEKDAY(DATE('設定'!$B$3,1,1),2),7))+7*7)</f>
        <v/>
      </c>
      <c r="O13" s="19">
        <f>IF(((DATE('設定'!$B$3,1,1)+MOD(8-WEEKDAY(DATE('設定'!$B$3,1,1),2),7))+8*7)&gt;DATE('設定'!$B$3,12,31),"",(DATE('設定'!$B$3,1,1)+MOD(8-WEEKDAY(DATE('設定'!$B$3,1,1),2),7))+8*7)</f>
        <v/>
      </c>
      <c r="P13" s="19">
        <f>IF(((DATE('設定'!$B$3,1,1)+MOD(8-WEEKDAY(DATE('設定'!$B$3,1,1),2),7))+9*7)&gt;DATE('設定'!$B$3,12,31),"",(DATE('設定'!$B$3,1,1)+MOD(8-WEEKDAY(DATE('設定'!$B$3,1,1),2),7))+9*7)</f>
        <v/>
      </c>
      <c r="Q13" s="19">
        <f>IF(((DATE('設定'!$B$3,1,1)+MOD(8-WEEKDAY(DATE('設定'!$B$3,1,1),2),7))+10*7)&gt;DATE('設定'!$B$3,12,31),"",(DATE('設定'!$B$3,1,1)+MOD(8-WEEKDAY(DATE('設定'!$B$3,1,1),2),7))+10*7)</f>
        <v/>
      </c>
      <c r="R13" s="19">
        <f>IF(((DATE('設定'!$B$3,1,1)+MOD(8-WEEKDAY(DATE('設定'!$B$3,1,1),2),7))+11*7)&gt;DATE('設定'!$B$3,12,31),"",(DATE('設定'!$B$3,1,1)+MOD(8-WEEKDAY(DATE('設定'!$B$3,1,1),2),7))+11*7)</f>
        <v/>
      </c>
      <c r="S13" s="19">
        <f>IF(((DATE('設定'!$B$3,1,1)+MOD(8-WEEKDAY(DATE('設定'!$B$3,1,1),2),7))+12*7)&gt;DATE('設定'!$B$3,12,31),"",(DATE('設定'!$B$3,1,1)+MOD(8-WEEKDAY(DATE('設定'!$B$3,1,1),2),7))+12*7)</f>
        <v/>
      </c>
      <c r="T13" s="19">
        <f>IF(((DATE('設定'!$B$3,1,1)+MOD(8-WEEKDAY(DATE('設定'!$B$3,1,1),2),7))+13*7)&gt;DATE('設定'!$B$3,12,31),"",(DATE('設定'!$B$3,1,1)+MOD(8-WEEKDAY(DATE('設定'!$B$3,1,1),2),7))+13*7)</f>
        <v/>
      </c>
      <c r="U13" s="19">
        <f>IF(((DATE('設定'!$B$3,1,1)+MOD(8-WEEKDAY(DATE('設定'!$B$3,1,1),2),7))+14*7)&gt;DATE('設定'!$B$3,12,31),"",(DATE('設定'!$B$3,1,1)+MOD(8-WEEKDAY(DATE('設定'!$B$3,1,1),2),7))+14*7)</f>
        <v/>
      </c>
      <c r="V13" s="19">
        <f>IF(((DATE('設定'!$B$3,1,1)+MOD(8-WEEKDAY(DATE('設定'!$B$3,1,1),2),7))+15*7)&gt;DATE('設定'!$B$3,12,31),"",(DATE('設定'!$B$3,1,1)+MOD(8-WEEKDAY(DATE('設定'!$B$3,1,1),2),7))+15*7)</f>
        <v/>
      </c>
      <c r="W13" s="19">
        <f>IF(((DATE('設定'!$B$3,1,1)+MOD(8-WEEKDAY(DATE('設定'!$B$3,1,1),2),7))+16*7)&gt;DATE('設定'!$B$3,12,31),"",(DATE('設定'!$B$3,1,1)+MOD(8-WEEKDAY(DATE('設定'!$B$3,1,1),2),7))+16*7)</f>
        <v/>
      </c>
      <c r="X13" s="19">
        <f>IF(((DATE('設定'!$B$3,1,1)+MOD(8-WEEKDAY(DATE('設定'!$B$3,1,1),2),7))+17*7)&gt;DATE('設定'!$B$3,12,31),"",(DATE('設定'!$B$3,1,1)+MOD(8-WEEKDAY(DATE('設定'!$B$3,1,1),2),7))+17*7)</f>
        <v/>
      </c>
      <c r="Y13" s="19">
        <f>IF(((DATE('設定'!$B$3,1,1)+MOD(8-WEEKDAY(DATE('設定'!$B$3,1,1),2),7))+18*7)&gt;DATE('設定'!$B$3,12,31),"",(DATE('設定'!$B$3,1,1)+MOD(8-WEEKDAY(DATE('設定'!$B$3,1,1),2),7))+18*7)</f>
        <v/>
      </c>
      <c r="Z13" s="19">
        <f>IF(((DATE('設定'!$B$3,1,1)+MOD(8-WEEKDAY(DATE('設定'!$B$3,1,1),2),7))+19*7)&gt;DATE('設定'!$B$3,12,31),"",(DATE('設定'!$B$3,1,1)+MOD(8-WEEKDAY(DATE('設定'!$B$3,1,1),2),7))+19*7)</f>
        <v/>
      </c>
      <c r="AA13" s="19">
        <f>IF(((DATE('設定'!$B$3,1,1)+MOD(8-WEEKDAY(DATE('設定'!$B$3,1,1),2),7))+20*7)&gt;DATE('設定'!$B$3,12,31),"",(DATE('設定'!$B$3,1,1)+MOD(8-WEEKDAY(DATE('設定'!$B$3,1,1),2),7))+20*7)</f>
        <v/>
      </c>
      <c r="AB13" s="19">
        <f>IF(((DATE('設定'!$B$3,1,1)+MOD(8-WEEKDAY(DATE('設定'!$B$3,1,1),2),7))+21*7)&gt;DATE('設定'!$B$3,12,31),"",(DATE('設定'!$B$3,1,1)+MOD(8-WEEKDAY(DATE('設定'!$B$3,1,1),2),7))+21*7)</f>
        <v/>
      </c>
      <c r="AC13" s="19">
        <f>IF(((DATE('設定'!$B$3,1,1)+MOD(8-WEEKDAY(DATE('設定'!$B$3,1,1),2),7))+22*7)&gt;DATE('設定'!$B$3,12,31),"",(DATE('設定'!$B$3,1,1)+MOD(8-WEEKDAY(DATE('設定'!$B$3,1,1),2),7))+22*7)</f>
        <v/>
      </c>
      <c r="AD13" s="19">
        <f>IF(((DATE('設定'!$B$3,1,1)+MOD(8-WEEKDAY(DATE('設定'!$B$3,1,1),2),7))+23*7)&gt;DATE('設定'!$B$3,12,31),"",(DATE('設定'!$B$3,1,1)+MOD(8-WEEKDAY(DATE('設定'!$B$3,1,1),2),7))+23*7)</f>
        <v/>
      </c>
      <c r="AE13" s="19">
        <f>IF(((DATE('設定'!$B$3,1,1)+MOD(8-WEEKDAY(DATE('設定'!$B$3,1,1),2),7))+24*7)&gt;DATE('設定'!$B$3,12,31),"",(DATE('設定'!$B$3,1,1)+MOD(8-WEEKDAY(DATE('設定'!$B$3,1,1),2),7))+24*7)</f>
        <v/>
      </c>
      <c r="AF13" s="19">
        <f>IF(((DATE('設定'!$B$3,1,1)+MOD(8-WEEKDAY(DATE('設定'!$B$3,1,1),2),7))+25*7)&gt;DATE('設定'!$B$3,12,31),"",(DATE('設定'!$B$3,1,1)+MOD(8-WEEKDAY(DATE('設定'!$B$3,1,1),2),7))+25*7)</f>
        <v/>
      </c>
      <c r="AG13" s="19">
        <f>IF(((DATE('設定'!$B$3,1,1)+MOD(8-WEEKDAY(DATE('設定'!$B$3,1,1),2),7))+26*7)&gt;DATE('設定'!$B$3,12,31),"",(DATE('設定'!$B$3,1,1)+MOD(8-WEEKDAY(DATE('設定'!$B$3,1,1),2),7))+26*7)</f>
        <v/>
      </c>
      <c r="AH13" s="19">
        <f>IF(((DATE('設定'!$B$3,1,1)+MOD(8-WEEKDAY(DATE('設定'!$B$3,1,1),2),7))+27*7)&gt;DATE('設定'!$B$3,12,31),"",(DATE('設定'!$B$3,1,1)+MOD(8-WEEKDAY(DATE('設定'!$B$3,1,1),2),7))+27*7)</f>
        <v/>
      </c>
      <c r="AI13" s="19">
        <f>IF(((DATE('設定'!$B$3,1,1)+MOD(8-WEEKDAY(DATE('設定'!$B$3,1,1),2),7))+28*7)&gt;DATE('設定'!$B$3,12,31),"",(DATE('設定'!$B$3,1,1)+MOD(8-WEEKDAY(DATE('設定'!$B$3,1,1),2),7))+28*7)</f>
        <v/>
      </c>
      <c r="AJ13" s="19">
        <f>IF(((DATE('設定'!$B$3,1,1)+MOD(8-WEEKDAY(DATE('設定'!$B$3,1,1),2),7))+29*7)&gt;DATE('設定'!$B$3,12,31),"",(DATE('設定'!$B$3,1,1)+MOD(8-WEEKDAY(DATE('設定'!$B$3,1,1),2),7))+29*7)</f>
        <v/>
      </c>
      <c r="AK13" s="19">
        <f>IF(((DATE('設定'!$B$3,1,1)+MOD(8-WEEKDAY(DATE('設定'!$B$3,1,1),2),7))+30*7)&gt;DATE('設定'!$B$3,12,31),"",(DATE('設定'!$B$3,1,1)+MOD(8-WEEKDAY(DATE('設定'!$B$3,1,1),2),7))+30*7)</f>
        <v/>
      </c>
      <c r="AL13" s="19">
        <f>IF(((DATE('設定'!$B$3,1,1)+MOD(8-WEEKDAY(DATE('設定'!$B$3,1,1),2),7))+31*7)&gt;DATE('設定'!$B$3,12,31),"",(DATE('設定'!$B$3,1,1)+MOD(8-WEEKDAY(DATE('設定'!$B$3,1,1),2),7))+31*7)</f>
        <v/>
      </c>
      <c r="AM13" s="19">
        <f>IF(((DATE('設定'!$B$3,1,1)+MOD(8-WEEKDAY(DATE('設定'!$B$3,1,1),2),7))+32*7)&gt;DATE('設定'!$B$3,12,31),"",(DATE('設定'!$B$3,1,1)+MOD(8-WEEKDAY(DATE('設定'!$B$3,1,1),2),7))+32*7)</f>
        <v/>
      </c>
      <c r="AN13" s="19">
        <f>IF(((DATE('設定'!$B$3,1,1)+MOD(8-WEEKDAY(DATE('設定'!$B$3,1,1),2),7))+33*7)&gt;DATE('設定'!$B$3,12,31),"",(DATE('設定'!$B$3,1,1)+MOD(8-WEEKDAY(DATE('設定'!$B$3,1,1),2),7))+33*7)</f>
        <v/>
      </c>
      <c r="AO13" s="19">
        <f>IF(((DATE('設定'!$B$3,1,1)+MOD(8-WEEKDAY(DATE('設定'!$B$3,1,1),2),7))+34*7)&gt;DATE('設定'!$B$3,12,31),"",(DATE('設定'!$B$3,1,1)+MOD(8-WEEKDAY(DATE('設定'!$B$3,1,1),2),7))+34*7)</f>
        <v/>
      </c>
      <c r="AP13" s="19">
        <f>IF(((DATE('設定'!$B$3,1,1)+MOD(8-WEEKDAY(DATE('設定'!$B$3,1,1),2),7))+35*7)&gt;DATE('設定'!$B$3,12,31),"",(DATE('設定'!$B$3,1,1)+MOD(8-WEEKDAY(DATE('設定'!$B$3,1,1),2),7))+35*7)</f>
        <v/>
      </c>
      <c r="AQ13" s="19">
        <f>IF(((DATE('設定'!$B$3,1,1)+MOD(8-WEEKDAY(DATE('設定'!$B$3,1,1),2),7))+36*7)&gt;DATE('設定'!$B$3,12,31),"",(DATE('設定'!$B$3,1,1)+MOD(8-WEEKDAY(DATE('設定'!$B$3,1,1),2),7))+36*7)</f>
        <v/>
      </c>
      <c r="AR13" s="19">
        <f>IF(((DATE('設定'!$B$3,1,1)+MOD(8-WEEKDAY(DATE('設定'!$B$3,1,1),2),7))+37*7)&gt;DATE('設定'!$B$3,12,31),"",(DATE('設定'!$B$3,1,1)+MOD(8-WEEKDAY(DATE('設定'!$B$3,1,1),2),7))+37*7)</f>
        <v/>
      </c>
      <c r="AS13" s="19">
        <f>IF(((DATE('設定'!$B$3,1,1)+MOD(8-WEEKDAY(DATE('設定'!$B$3,1,1),2),7))+38*7)&gt;DATE('設定'!$B$3,12,31),"",(DATE('設定'!$B$3,1,1)+MOD(8-WEEKDAY(DATE('設定'!$B$3,1,1),2),7))+38*7)</f>
        <v/>
      </c>
      <c r="AT13" s="19">
        <f>IF(((DATE('設定'!$B$3,1,1)+MOD(8-WEEKDAY(DATE('設定'!$B$3,1,1),2),7))+39*7)&gt;DATE('設定'!$B$3,12,31),"",(DATE('設定'!$B$3,1,1)+MOD(8-WEEKDAY(DATE('設定'!$B$3,1,1),2),7))+39*7)</f>
        <v/>
      </c>
      <c r="AU13" s="19">
        <f>IF(((DATE('設定'!$B$3,1,1)+MOD(8-WEEKDAY(DATE('設定'!$B$3,1,1),2),7))+40*7)&gt;DATE('設定'!$B$3,12,31),"",(DATE('設定'!$B$3,1,1)+MOD(8-WEEKDAY(DATE('設定'!$B$3,1,1),2),7))+40*7)</f>
        <v/>
      </c>
      <c r="AV13" s="19">
        <f>IF(((DATE('設定'!$B$3,1,1)+MOD(8-WEEKDAY(DATE('設定'!$B$3,1,1),2),7))+41*7)&gt;DATE('設定'!$B$3,12,31),"",(DATE('設定'!$B$3,1,1)+MOD(8-WEEKDAY(DATE('設定'!$B$3,1,1),2),7))+41*7)</f>
        <v/>
      </c>
      <c r="AW13" s="19">
        <f>IF(((DATE('設定'!$B$3,1,1)+MOD(8-WEEKDAY(DATE('設定'!$B$3,1,1),2),7))+42*7)&gt;DATE('設定'!$B$3,12,31),"",(DATE('設定'!$B$3,1,1)+MOD(8-WEEKDAY(DATE('設定'!$B$3,1,1),2),7))+42*7)</f>
        <v/>
      </c>
      <c r="AX13" s="19">
        <f>IF(((DATE('設定'!$B$3,1,1)+MOD(8-WEEKDAY(DATE('設定'!$B$3,1,1),2),7))+43*7)&gt;DATE('設定'!$B$3,12,31),"",(DATE('設定'!$B$3,1,1)+MOD(8-WEEKDAY(DATE('設定'!$B$3,1,1),2),7))+43*7)</f>
        <v/>
      </c>
      <c r="AY13" s="19">
        <f>IF(((DATE('設定'!$B$3,1,1)+MOD(8-WEEKDAY(DATE('設定'!$B$3,1,1),2),7))+44*7)&gt;DATE('設定'!$B$3,12,31),"",(DATE('設定'!$B$3,1,1)+MOD(8-WEEKDAY(DATE('設定'!$B$3,1,1),2),7))+44*7)</f>
        <v/>
      </c>
      <c r="AZ13" s="19">
        <f>IF(((DATE('設定'!$B$3,1,1)+MOD(8-WEEKDAY(DATE('設定'!$B$3,1,1),2),7))+45*7)&gt;DATE('設定'!$B$3,12,31),"",(DATE('設定'!$B$3,1,1)+MOD(8-WEEKDAY(DATE('設定'!$B$3,1,1),2),7))+45*7)</f>
        <v/>
      </c>
      <c r="BA13" s="19">
        <f>IF(((DATE('設定'!$B$3,1,1)+MOD(8-WEEKDAY(DATE('設定'!$B$3,1,1),2),7))+46*7)&gt;DATE('設定'!$B$3,12,31),"",(DATE('設定'!$B$3,1,1)+MOD(8-WEEKDAY(DATE('設定'!$B$3,1,1),2),7))+46*7)</f>
        <v/>
      </c>
      <c r="BB13" s="19">
        <f>IF(((DATE('設定'!$B$3,1,1)+MOD(8-WEEKDAY(DATE('設定'!$B$3,1,1),2),7))+47*7)&gt;DATE('設定'!$B$3,12,31),"",(DATE('設定'!$B$3,1,1)+MOD(8-WEEKDAY(DATE('設定'!$B$3,1,1),2),7))+47*7)</f>
        <v/>
      </c>
      <c r="BC13" s="19">
        <f>IF(((DATE('設定'!$B$3,1,1)+MOD(8-WEEKDAY(DATE('設定'!$B$3,1,1),2),7))+48*7)&gt;DATE('設定'!$B$3,12,31),"",(DATE('設定'!$B$3,1,1)+MOD(8-WEEKDAY(DATE('設定'!$B$3,1,1),2),7))+48*7)</f>
        <v/>
      </c>
      <c r="BD13" s="19">
        <f>IF(((DATE('設定'!$B$3,1,1)+MOD(8-WEEKDAY(DATE('設定'!$B$3,1,1),2),7))+49*7)&gt;DATE('設定'!$B$3,12,31),"",(DATE('設定'!$B$3,1,1)+MOD(8-WEEKDAY(DATE('設定'!$B$3,1,1),2),7))+49*7)</f>
        <v/>
      </c>
      <c r="BE13" s="19">
        <f>IF(((DATE('設定'!$B$3,1,1)+MOD(8-WEEKDAY(DATE('設定'!$B$3,1,1),2),7))+50*7)&gt;DATE('設定'!$B$3,12,31),"",(DATE('設定'!$B$3,1,1)+MOD(8-WEEKDAY(DATE('設定'!$B$3,1,1),2),7))+50*7)</f>
        <v/>
      </c>
      <c r="BF13" s="19">
        <f>IF(((DATE('設定'!$B$3,1,1)+MOD(8-WEEKDAY(DATE('設定'!$B$3,1,1),2),7))+51*7)&gt;DATE('設定'!$B$3,12,31),"",(DATE('設定'!$B$3,1,1)+MOD(8-WEEKDAY(DATE('設定'!$B$3,1,1),2),7))+51*7)</f>
        <v/>
      </c>
      <c r="BG13" s="19">
        <f>IF(((DATE('設定'!$B$3,1,1)+MOD(8-WEEKDAY(DATE('設定'!$B$3,1,1),2),7))+52*7)&gt;DATE('設定'!$B$3,12,31),"",(DATE('設定'!$B$3,1,1)+MOD(8-WEEKDAY(DATE('設定'!$B$3,1,1),2),7))+52*7)</f>
        <v/>
      </c>
    </row>
    <row r="14" ht="22" customHeight="1">
      <c r="A14" s="20">
        <f>'設定'!B8</f>
        <v/>
      </c>
      <c r="B14" s="21">
        <f>IF(A14="","",COUNTIFS(LeaveName,A14,LeaveType,"AL",LeaveDate,"&gt;="&amp;DATE('設定'!$B$3,1,1),LeaveDate,"&lt;="&amp;DATE('設定'!$B$3,12,31)))</f>
        <v/>
      </c>
      <c r="C14" s="21">
        <f>IF(A14="","",IF('設定'!E8="","",'設定'!E8-B14))</f>
        <v/>
      </c>
      <c r="D14" s="21">
        <f>IF(A14="","",E14+F14)</f>
        <v/>
      </c>
      <c r="E14" s="22" t="n">
        <v>0</v>
      </c>
      <c r="F14" s="23">
        <f>IF(A14="","",CompYear1)</f>
        <v/>
      </c>
      <c r="G14" s="24">
        <f>IF(G$13="","",IF('設定'!$B$8="","",IF(COUNTIFS(LeaveName,'設定'!$B$8,LeaveType,"AL",LeaveDate,"&gt;="&amp;G$13,LeaveDate,"&lt;"&amp;G$13+7)&gt;0,"AL",IF(COUNTIFS(LeaveName,'設定'!$B$8,LeaveType,"SL",LeaveDate,"&gt;="&amp;G$13,LeaveDate,"&lt;"&amp;G$13+7)&gt;0,"SL",IF('設定'!$C$8="S","S",IF('設定'!$C$8="R",IF(MOD(INT((G$13-'設定'!$B$4)/7)+IF('設定'!$D$8="",0,'設定'!$D$8),16)&lt;4,"A",IF(MOD(INT((G$13-'設定'!$B$4)/7)+IF('設定'!$D$8="",0,'設定'!$D$8),16)&lt;8,"P",IF(MOD(INT((G$13-'設定'!$B$4)/7)+IF('設定'!$D$8="",0,'設定'!$D$8),16)&lt;12,"N","P"))),""))))))</f>
        <v/>
      </c>
      <c r="H14" s="24">
        <f>IF(H$13="","",IF('設定'!$B$8="","",IF(COUNTIFS(LeaveName,'設定'!$B$8,LeaveType,"AL",LeaveDate,"&gt;="&amp;H$13,LeaveDate,"&lt;"&amp;H$13+7)&gt;0,"AL",IF(COUNTIFS(LeaveName,'設定'!$B$8,LeaveType,"SL",LeaveDate,"&gt;="&amp;H$13,LeaveDate,"&lt;"&amp;H$13+7)&gt;0,"SL",IF('設定'!$C$8="S","S",IF('設定'!$C$8="R",IF(MOD(INT((H$13-'設定'!$B$4)/7)+IF('設定'!$D$8="",0,'設定'!$D$8),16)&lt;4,"A",IF(MOD(INT((H$13-'設定'!$B$4)/7)+IF('設定'!$D$8="",0,'設定'!$D$8),16)&lt;8,"P",IF(MOD(INT((H$13-'設定'!$B$4)/7)+IF('設定'!$D$8="",0,'設定'!$D$8),16)&lt;12,"N","P"))),""))))))</f>
        <v/>
      </c>
      <c r="I14" s="24">
        <f>IF(I$13="","",IF('設定'!$B$8="","",IF(COUNTIFS(LeaveName,'設定'!$B$8,LeaveType,"AL",LeaveDate,"&gt;="&amp;I$13,LeaveDate,"&lt;"&amp;I$13+7)&gt;0,"AL",IF(COUNTIFS(LeaveName,'設定'!$B$8,LeaveType,"SL",LeaveDate,"&gt;="&amp;I$13,LeaveDate,"&lt;"&amp;I$13+7)&gt;0,"SL",IF('設定'!$C$8="S","S",IF('設定'!$C$8="R",IF(MOD(INT((I$13-'設定'!$B$4)/7)+IF('設定'!$D$8="",0,'設定'!$D$8),16)&lt;4,"A",IF(MOD(INT((I$13-'設定'!$B$4)/7)+IF('設定'!$D$8="",0,'設定'!$D$8),16)&lt;8,"P",IF(MOD(INT((I$13-'設定'!$B$4)/7)+IF('設定'!$D$8="",0,'設定'!$D$8),16)&lt;12,"N","P"))),""))))))</f>
        <v/>
      </c>
      <c r="J14" s="24">
        <f>IF(J$13="","",IF('設定'!$B$8="","",IF(COUNTIFS(LeaveName,'設定'!$B$8,LeaveType,"AL",LeaveDate,"&gt;="&amp;J$13,LeaveDate,"&lt;"&amp;J$13+7)&gt;0,"AL",IF(COUNTIFS(LeaveName,'設定'!$B$8,LeaveType,"SL",LeaveDate,"&gt;="&amp;J$13,LeaveDate,"&lt;"&amp;J$13+7)&gt;0,"SL",IF('設定'!$C$8="S","S",IF('設定'!$C$8="R",IF(MOD(INT((J$13-'設定'!$B$4)/7)+IF('設定'!$D$8="",0,'設定'!$D$8),16)&lt;4,"A",IF(MOD(INT((J$13-'設定'!$B$4)/7)+IF('設定'!$D$8="",0,'設定'!$D$8),16)&lt;8,"P",IF(MOD(INT((J$13-'設定'!$B$4)/7)+IF('設定'!$D$8="",0,'設定'!$D$8),16)&lt;12,"N","P"))),""))))))</f>
        <v/>
      </c>
      <c r="K14" s="24">
        <f>IF(K$13="","",IF('設定'!$B$8="","",IF(COUNTIFS(LeaveName,'設定'!$B$8,LeaveType,"AL",LeaveDate,"&gt;="&amp;K$13,LeaveDate,"&lt;"&amp;K$13+7)&gt;0,"AL",IF(COUNTIFS(LeaveName,'設定'!$B$8,LeaveType,"SL",LeaveDate,"&gt;="&amp;K$13,LeaveDate,"&lt;"&amp;K$13+7)&gt;0,"SL",IF('設定'!$C$8="S","S",IF('設定'!$C$8="R",IF(MOD(INT((K$13-'設定'!$B$4)/7)+IF('設定'!$D$8="",0,'設定'!$D$8),16)&lt;4,"A",IF(MOD(INT((K$13-'設定'!$B$4)/7)+IF('設定'!$D$8="",0,'設定'!$D$8),16)&lt;8,"P",IF(MOD(INT((K$13-'設定'!$B$4)/7)+IF('設定'!$D$8="",0,'設定'!$D$8),16)&lt;12,"N","P"))),""))))))</f>
        <v/>
      </c>
      <c r="L14" s="24">
        <f>IF(L$13="","",IF('設定'!$B$8="","",IF(COUNTIFS(LeaveName,'設定'!$B$8,LeaveType,"AL",LeaveDate,"&gt;="&amp;L$13,LeaveDate,"&lt;"&amp;L$13+7)&gt;0,"AL",IF(COUNTIFS(LeaveName,'設定'!$B$8,LeaveType,"SL",LeaveDate,"&gt;="&amp;L$13,LeaveDate,"&lt;"&amp;L$13+7)&gt;0,"SL",IF('設定'!$C$8="S","S",IF('設定'!$C$8="R",IF(MOD(INT((L$13-'設定'!$B$4)/7)+IF('設定'!$D$8="",0,'設定'!$D$8),16)&lt;4,"A",IF(MOD(INT((L$13-'設定'!$B$4)/7)+IF('設定'!$D$8="",0,'設定'!$D$8),16)&lt;8,"P",IF(MOD(INT((L$13-'設定'!$B$4)/7)+IF('設定'!$D$8="",0,'設定'!$D$8),16)&lt;12,"N","P"))),""))))))</f>
        <v/>
      </c>
      <c r="M14" s="24">
        <f>IF(M$13="","",IF('設定'!$B$8="","",IF(COUNTIFS(LeaveName,'設定'!$B$8,LeaveType,"AL",LeaveDate,"&gt;="&amp;M$13,LeaveDate,"&lt;"&amp;M$13+7)&gt;0,"AL",IF(COUNTIFS(LeaveName,'設定'!$B$8,LeaveType,"SL",LeaveDate,"&gt;="&amp;M$13,LeaveDate,"&lt;"&amp;M$13+7)&gt;0,"SL",IF('設定'!$C$8="S","S",IF('設定'!$C$8="R",IF(MOD(INT((M$13-'設定'!$B$4)/7)+IF('設定'!$D$8="",0,'設定'!$D$8),16)&lt;4,"A",IF(MOD(INT((M$13-'設定'!$B$4)/7)+IF('設定'!$D$8="",0,'設定'!$D$8),16)&lt;8,"P",IF(MOD(INT((M$13-'設定'!$B$4)/7)+IF('設定'!$D$8="",0,'設定'!$D$8),16)&lt;12,"N","P"))),""))))))</f>
        <v/>
      </c>
      <c r="N14" s="24">
        <f>IF(N$13="","",IF('設定'!$B$8="","",IF(COUNTIFS(LeaveName,'設定'!$B$8,LeaveType,"AL",LeaveDate,"&gt;="&amp;N$13,LeaveDate,"&lt;"&amp;N$13+7)&gt;0,"AL",IF(COUNTIFS(LeaveName,'設定'!$B$8,LeaveType,"SL",LeaveDate,"&gt;="&amp;N$13,LeaveDate,"&lt;"&amp;N$13+7)&gt;0,"SL",IF('設定'!$C$8="S","S",IF('設定'!$C$8="R",IF(MOD(INT((N$13-'設定'!$B$4)/7)+IF('設定'!$D$8="",0,'設定'!$D$8),16)&lt;4,"A",IF(MOD(INT((N$13-'設定'!$B$4)/7)+IF('設定'!$D$8="",0,'設定'!$D$8),16)&lt;8,"P",IF(MOD(INT((N$13-'設定'!$B$4)/7)+IF('設定'!$D$8="",0,'設定'!$D$8),16)&lt;12,"N","P"))),""))))))</f>
        <v/>
      </c>
      <c r="O14" s="24">
        <f>IF(O$13="","",IF('設定'!$B$8="","",IF(COUNTIFS(LeaveName,'設定'!$B$8,LeaveType,"AL",LeaveDate,"&gt;="&amp;O$13,LeaveDate,"&lt;"&amp;O$13+7)&gt;0,"AL",IF(COUNTIFS(LeaveName,'設定'!$B$8,LeaveType,"SL",LeaveDate,"&gt;="&amp;O$13,LeaveDate,"&lt;"&amp;O$13+7)&gt;0,"SL",IF('設定'!$C$8="S","S",IF('設定'!$C$8="R",IF(MOD(INT((O$13-'設定'!$B$4)/7)+IF('設定'!$D$8="",0,'設定'!$D$8),16)&lt;4,"A",IF(MOD(INT((O$13-'設定'!$B$4)/7)+IF('設定'!$D$8="",0,'設定'!$D$8),16)&lt;8,"P",IF(MOD(INT((O$13-'設定'!$B$4)/7)+IF('設定'!$D$8="",0,'設定'!$D$8),16)&lt;12,"N","P"))),""))))))</f>
        <v/>
      </c>
      <c r="P14" s="24">
        <f>IF(P$13="","",IF('設定'!$B$8="","",IF(COUNTIFS(LeaveName,'設定'!$B$8,LeaveType,"AL",LeaveDate,"&gt;="&amp;P$13,LeaveDate,"&lt;"&amp;P$13+7)&gt;0,"AL",IF(COUNTIFS(LeaveName,'設定'!$B$8,LeaveType,"SL",LeaveDate,"&gt;="&amp;P$13,LeaveDate,"&lt;"&amp;P$13+7)&gt;0,"SL",IF('設定'!$C$8="S","S",IF('設定'!$C$8="R",IF(MOD(INT((P$13-'設定'!$B$4)/7)+IF('設定'!$D$8="",0,'設定'!$D$8),16)&lt;4,"A",IF(MOD(INT((P$13-'設定'!$B$4)/7)+IF('設定'!$D$8="",0,'設定'!$D$8),16)&lt;8,"P",IF(MOD(INT((P$13-'設定'!$B$4)/7)+IF('設定'!$D$8="",0,'設定'!$D$8),16)&lt;12,"N","P"))),""))))))</f>
        <v/>
      </c>
      <c r="Q14" s="24">
        <f>IF(Q$13="","",IF('設定'!$B$8="","",IF(COUNTIFS(LeaveName,'設定'!$B$8,LeaveType,"AL",LeaveDate,"&gt;="&amp;Q$13,LeaveDate,"&lt;"&amp;Q$13+7)&gt;0,"AL",IF(COUNTIFS(LeaveName,'設定'!$B$8,LeaveType,"SL",LeaveDate,"&gt;="&amp;Q$13,LeaveDate,"&lt;"&amp;Q$13+7)&gt;0,"SL",IF('設定'!$C$8="S","S",IF('設定'!$C$8="R",IF(MOD(INT((Q$13-'設定'!$B$4)/7)+IF('設定'!$D$8="",0,'設定'!$D$8),16)&lt;4,"A",IF(MOD(INT((Q$13-'設定'!$B$4)/7)+IF('設定'!$D$8="",0,'設定'!$D$8),16)&lt;8,"P",IF(MOD(INT((Q$13-'設定'!$B$4)/7)+IF('設定'!$D$8="",0,'設定'!$D$8),16)&lt;12,"N","P"))),""))))))</f>
        <v/>
      </c>
      <c r="R14" s="24">
        <f>IF(R$13="","",IF('設定'!$B$8="","",IF(COUNTIFS(LeaveName,'設定'!$B$8,LeaveType,"AL",LeaveDate,"&gt;="&amp;R$13,LeaveDate,"&lt;"&amp;R$13+7)&gt;0,"AL",IF(COUNTIFS(LeaveName,'設定'!$B$8,LeaveType,"SL",LeaveDate,"&gt;="&amp;R$13,LeaveDate,"&lt;"&amp;R$13+7)&gt;0,"SL",IF('設定'!$C$8="S","S",IF('設定'!$C$8="R",IF(MOD(INT((R$13-'設定'!$B$4)/7)+IF('設定'!$D$8="",0,'設定'!$D$8),16)&lt;4,"A",IF(MOD(INT((R$13-'設定'!$B$4)/7)+IF('設定'!$D$8="",0,'設定'!$D$8),16)&lt;8,"P",IF(MOD(INT((R$13-'設定'!$B$4)/7)+IF('設定'!$D$8="",0,'設定'!$D$8),16)&lt;12,"N","P"))),""))))))</f>
        <v/>
      </c>
      <c r="S14" s="24">
        <f>IF(S$13="","",IF('設定'!$B$8="","",IF(COUNTIFS(LeaveName,'設定'!$B$8,LeaveType,"AL",LeaveDate,"&gt;="&amp;S$13,LeaveDate,"&lt;"&amp;S$13+7)&gt;0,"AL",IF(COUNTIFS(LeaveName,'設定'!$B$8,LeaveType,"SL",LeaveDate,"&gt;="&amp;S$13,LeaveDate,"&lt;"&amp;S$13+7)&gt;0,"SL",IF('設定'!$C$8="S","S",IF('設定'!$C$8="R",IF(MOD(INT((S$13-'設定'!$B$4)/7)+IF('設定'!$D$8="",0,'設定'!$D$8),16)&lt;4,"A",IF(MOD(INT((S$13-'設定'!$B$4)/7)+IF('設定'!$D$8="",0,'設定'!$D$8),16)&lt;8,"P",IF(MOD(INT((S$13-'設定'!$B$4)/7)+IF('設定'!$D$8="",0,'設定'!$D$8),16)&lt;12,"N","P"))),""))))))</f>
        <v/>
      </c>
      <c r="T14" s="24">
        <f>IF(T$13="","",IF('設定'!$B$8="","",IF(COUNTIFS(LeaveName,'設定'!$B$8,LeaveType,"AL",LeaveDate,"&gt;="&amp;T$13,LeaveDate,"&lt;"&amp;T$13+7)&gt;0,"AL",IF(COUNTIFS(LeaveName,'設定'!$B$8,LeaveType,"SL",LeaveDate,"&gt;="&amp;T$13,LeaveDate,"&lt;"&amp;T$13+7)&gt;0,"SL",IF('設定'!$C$8="S","S",IF('設定'!$C$8="R",IF(MOD(INT((T$13-'設定'!$B$4)/7)+IF('設定'!$D$8="",0,'設定'!$D$8),16)&lt;4,"A",IF(MOD(INT((T$13-'設定'!$B$4)/7)+IF('設定'!$D$8="",0,'設定'!$D$8),16)&lt;8,"P",IF(MOD(INT((T$13-'設定'!$B$4)/7)+IF('設定'!$D$8="",0,'設定'!$D$8),16)&lt;12,"N","P"))),""))))))</f>
        <v/>
      </c>
      <c r="U14" s="24">
        <f>IF(U$13="","",IF('設定'!$B$8="","",IF(COUNTIFS(LeaveName,'設定'!$B$8,LeaveType,"AL",LeaveDate,"&gt;="&amp;U$13,LeaveDate,"&lt;"&amp;U$13+7)&gt;0,"AL",IF(COUNTIFS(LeaveName,'設定'!$B$8,LeaveType,"SL",LeaveDate,"&gt;="&amp;U$13,LeaveDate,"&lt;"&amp;U$13+7)&gt;0,"SL",IF('設定'!$C$8="S","S",IF('設定'!$C$8="R",IF(MOD(INT((U$13-'設定'!$B$4)/7)+IF('設定'!$D$8="",0,'設定'!$D$8),16)&lt;4,"A",IF(MOD(INT((U$13-'設定'!$B$4)/7)+IF('設定'!$D$8="",0,'設定'!$D$8),16)&lt;8,"P",IF(MOD(INT((U$13-'設定'!$B$4)/7)+IF('設定'!$D$8="",0,'設定'!$D$8),16)&lt;12,"N","P"))),""))))))</f>
        <v/>
      </c>
      <c r="V14" s="24">
        <f>IF(V$13="","",IF('設定'!$B$8="","",IF(COUNTIFS(LeaveName,'設定'!$B$8,LeaveType,"AL",LeaveDate,"&gt;="&amp;V$13,LeaveDate,"&lt;"&amp;V$13+7)&gt;0,"AL",IF(COUNTIFS(LeaveName,'設定'!$B$8,LeaveType,"SL",LeaveDate,"&gt;="&amp;V$13,LeaveDate,"&lt;"&amp;V$13+7)&gt;0,"SL",IF('設定'!$C$8="S","S",IF('設定'!$C$8="R",IF(MOD(INT((V$13-'設定'!$B$4)/7)+IF('設定'!$D$8="",0,'設定'!$D$8),16)&lt;4,"A",IF(MOD(INT((V$13-'設定'!$B$4)/7)+IF('設定'!$D$8="",0,'設定'!$D$8),16)&lt;8,"P",IF(MOD(INT((V$13-'設定'!$B$4)/7)+IF('設定'!$D$8="",0,'設定'!$D$8),16)&lt;12,"N","P"))),""))))))</f>
        <v/>
      </c>
      <c r="W14" s="24">
        <f>IF(W$13="","",IF('設定'!$B$8="","",IF(COUNTIFS(LeaveName,'設定'!$B$8,LeaveType,"AL",LeaveDate,"&gt;="&amp;W$13,LeaveDate,"&lt;"&amp;W$13+7)&gt;0,"AL",IF(COUNTIFS(LeaveName,'設定'!$B$8,LeaveType,"SL",LeaveDate,"&gt;="&amp;W$13,LeaveDate,"&lt;"&amp;W$13+7)&gt;0,"SL",IF('設定'!$C$8="S","S",IF('設定'!$C$8="R",IF(MOD(INT((W$13-'設定'!$B$4)/7)+IF('設定'!$D$8="",0,'設定'!$D$8),16)&lt;4,"A",IF(MOD(INT((W$13-'設定'!$B$4)/7)+IF('設定'!$D$8="",0,'設定'!$D$8),16)&lt;8,"P",IF(MOD(INT((W$13-'設定'!$B$4)/7)+IF('設定'!$D$8="",0,'設定'!$D$8),16)&lt;12,"N","P"))),""))))))</f>
        <v/>
      </c>
      <c r="X14" s="24">
        <f>IF(X$13="","",IF('設定'!$B$8="","",IF(COUNTIFS(LeaveName,'設定'!$B$8,LeaveType,"AL",LeaveDate,"&gt;="&amp;X$13,LeaveDate,"&lt;"&amp;X$13+7)&gt;0,"AL",IF(COUNTIFS(LeaveName,'設定'!$B$8,LeaveType,"SL",LeaveDate,"&gt;="&amp;X$13,LeaveDate,"&lt;"&amp;X$13+7)&gt;0,"SL",IF('設定'!$C$8="S","S",IF('設定'!$C$8="R",IF(MOD(INT((X$13-'設定'!$B$4)/7)+IF('設定'!$D$8="",0,'設定'!$D$8),16)&lt;4,"A",IF(MOD(INT((X$13-'設定'!$B$4)/7)+IF('設定'!$D$8="",0,'設定'!$D$8),16)&lt;8,"P",IF(MOD(INT((X$13-'設定'!$B$4)/7)+IF('設定'!$D$8="",0,'設定'!$D$8),16)&lt;12,"N","P"))),""))))))</f>
        <v/>
      </c>
      <c r="Y14" s="24">
        <f>IF(Y$13="","",IF('設定'!$B$8="","",IF(COUNTIFS(LeaveName,'設定'!$B$8,LeaveType,"AL",LeaveDate,"&gt;="&amp;Y$13,LeaveDate,"&lt;"&amp;Y$13+7)&gt;0,"AL",IF(COUNTIFS(LeaveName,'設定'!$B$8,LeaveType,"SL",LeaveDate,"&gt;="&amp;Y$13,LeaveDate,"&lt;"&amp;Y$13+7)&gt;0,"SL",IF('設定'!$C$8="S","S",IF('設定'!$C$8="R",IF(MOD(INT((Y$13-'設定'!$B$4)/7)+IF('設定'!$D$8="",0,'設定'!$D$8),16)&lt;4,"A",IF(MOD(INT((Y$13-'設定'!$B$4)/7)+IF('設定'!$D$8="",0,'設定'!$D$8),16)&lt;8,"P",IF(MOD(INT((Y$13-'設定'!$B$4)/7)+IF('設定'!$D$8="",0,'設定'!$D$8),16)&lt;12,"N","P"))),""))))))</f>
        <v/>
      </c>
      <c r="Z14" s="24">
        <f>IF(Z$13="","",IF('設定'!$B$8="","",IF(COUNTIFS(LeaveName,'設定'!$B$8,LeaveType,"AL",LeaveDate,"&gt;="&amp;Z$13,LeaveDate,"&lt;"&amp;Z$13+7)&gt;0,"AL",IF(COUNTIFS(LeaveName,'設定'!$B$8,LeaveType,"SL",LeaveDate,"&gt;="&amp;Z$13,LeaveDate,"&lt;"&amp;Z$13+7)&gt;0,"SL",IF('設定'!$C$8="S","S",IF('設定'!$C$8="R",IF(MOD(INT((Z$13-'設定'!$B$4)/7)+IF('設定'!$D$8="",0,'設定'!$D$8),16)&lt;4,"A",IF(MOD(INT((Z$13-'設定'!$B$4)/7)+IF('設定'!$D$8="",0,'設定'!$D$8),16)&lt;8,"P",IF(MOD(INT((Z$13-'設定'!$B$4)/7)+IF('設定'!$D$8="",0,'設定'!$D$8),16)&lt;12,"N","P"))),""))))))</f>
        <v/>
      </c>
      <c r="AA14" s="24">
        <f>IF(AA$13="","",IF('設定'!$B$8="","",IF(COUNTIFS(LeaveName,'設定'!$B$8,LeaveType,"AL",LeaveDate,"&gt;="&amp;AA$13,LeaveDate,"&lt;"&amp;AA$13+7)&gt;0,"AL",IF(COUNTIFS(LeaveName,'設定'!$B$8,LeaveType,"SL",LeaveDate,"&gt;="&amp;AA$13,LeaveDate,"&lt;"&amp;AA$13+7)&gt;0,"SL",IF('設定'!$C$8="S","S",IF('設定'!$C$8="R",IF(MOD(INT((AA$13-'設定'!$B$4)/7)+IF('設定'!$D$8="",0,'設定'!$D$8),16)&lt;4,"A",IF(MOD(INT((AA$13-'設定'!$B$4)/7)+IF('設定'!$D$8="",0,'設定'!$D$8),16)&lt;8,"P",IF(MOD(INT((AA$13-'設定'!$B$4)/7)+IF('設定'!$D$8="",0,'設定'!$D$8),16)&lt;12,"N","P"))),""))))))</f>
        <v/>
      </c>
      <c r="AB14" s="24">
        <f>IF(AB$13="","",IF('設定'!$B$8="","",IF(COUNTIFS(LeaveName,'設定'!$B$8,LeaveType,"AL",LeaveDate,"&gt;="&amp;AB$13,LeaveDate,"&lt;"&amp;AB$13+7)&gt;0,"AL",IF(COUNTIFS(LeaveName,'設定'!$B$8,LeaveType,"SL",LeaveDate,"&gt;="&amp;AB$13,LeaveDate,"&lt;"&amp;AB$13+7)&gt;0,"SL",IF('設定'!$C$8="S","S",IF('設定'!$C$8="R",IF(MOD(INT((AB$13-'設定'!$B$4)/7)+IF('設定'!$D$8="",0,'設定'!$D$8),16)&lt;4,"A",IF(MOD(INT((AB$13-'設定'!$B$4)/7)+IF('設定'!$D$8="",0,'設定'!$D$8),16)&lt;8,"P",IF(MOD(INT((AB$13-'設定'!$B$4)/7)+IF('設定'!$D$8="",0,'設定'!$D$8),16)&lt;12,"N","P"))),""))))))</f>
        <v/>
      </c>
      <c r="AC14" s="24">
        <f>IF(AC$13="","",IF('設定'!$B$8="","",IF(COUNTIFS(LeaveName,'設定'!$B$8,LeaveType,"AL",LeaveDate,"&gt;="&amp;AC$13,LeaveDate,"&lt;"&amp;AC$13+7)&gt;0,"AL",IF(COUNTIFS(LeaveName,'設定'!$B$8,LeaveType,"SL",LeaveDate,"&gt;="&amp;AC$13,LeaveDate,"&lt;"&amp;AC$13+7)&gt;0,"SL",IF('設定'!$C$8="S","S",IF('設定'!$C$8="R",IF(MOD(INT((AC$13-'設定'!$B$4)/7)+IF('設定'!$D$8="",0,'設定'!$D$8),16)&lt;4,"A",IF(MOD(INT((AC$13-'設定'!$B$4)/7)+IF('設定'!$D$8="",0,'設定'!$D$8),16)&lt;8,"P",IF(MOD(INT((AC$13-'設定'!$B$4)/7)+IF('設定'!$D$8="",0,'設定'!$D$8),16)&lt;12,"N","P"))),""))))))</f>
        <v/>
      </c>
      <c r="AD14" s="24">
        <f>IF(AD$13="","",IF('設定'!$B$8="","",IF(COUNTIFS(LeaveName,'設定'!$B$8,LeaveType,"AL",LeaveDate,"&gt;="&amp;AD$13,LeaveDate,"&lt;"&amp;AD$13+7)&gt;0,"AL",IF(COUNTIFS(LeaveName,'設定'!$B$8,LeaveType,"SL",LeaveDate,"&gt;="&amp;AD$13,LeaveDate,"&lt;"&amp;AD$13+7)&gt;0,"SL",IF('設定'!$C$8="S","S",IF('設定'!$C$8="R",IF(MOD(INT((AD$13-'設定'!$B$4)/7)+IF('設定'!$D$8="",0,'設定'!$D$8),16)&lt;4,"A",IF(MOD(INT((AD$13-'設定'!$B$4)/7)+IF('設定'!$D$8="",0,'設定'!$D$8),16)&lt;8,"P",IF(MOD(INT((AD$13-'設定'!$B$4)/7)+IF('設定'!$D$8="",0,'設定'!$D$8),16)&lt;12,"N","P"))),""))))))</f>
        <v/>
      </c>
      <c r="AE14" s="24">
        <f>IF(AE$13="","",IF('設定'!$B$8="","",IF(COUNTIFS(LeaveName,'設定'!$B$8,LeaveType,"AL",LeaveDate,"&gt;="&amp;AE$13,LeaveDate,"&lt;"&amp;AE$13+7)&gt;0,"AL",IF(COUNTIFS(LeaveName,'設定'!$B$8,LeaveType,"SL",LeaveDate,"&gt;="&amp;AE$13,LeaveDate,"&lt;"&amp;AE$13+7)&gt;0,"SL",IF('設定'!$C$8="S","S",IF('設定'!$C$8="R",IF(MOD(INT((AE$13-'設定'!$B$4)/7)+IF('設定'!$D$8="",0,'設定'!$D$8),16)&lt;4,"A",IF(MOD(INT((AE$13-'設定'!$B$4)/7)+IF('設定'!$D$8="",0,'設定'!$D$8),16)&lt;8,"P",IF(MOD(INT((AE$13-'設定'!$B$4)/7)+IF('設定'!$D$8="",0,'設定'!$D$8),16)&lt;12,"N","P"))),""))))))</f>
        <v/>
      </c>
      <c r="AF14" s="24">
        <f>IF(AF$13="","",IF('設定'!$B$8="","",IF(COUNTIFS(LeaveName,'設定'!$B$8,LeaveType,"AL",LeaveDate,"&gt;="&amp;AF$13,LeaveDate,"&lt;"&amp;AF$13+7)&gt;0,"AL",IF(COUNTIFS(LeaveName,'設定'!$B$8,LeaveType,"SL",LeaveDate,"&gt;="&amp;AF$13,LeaveDate,"&lt;"&amp;AF$13+7)&gt;0,"SL",IF('設定'!$C$8="S","S",IF('設定'!$C$8="R",IF(MOD(INT((AF$13-'設定'!$B$4)/7)+IF('設定'!$D$8="",0,'設定'!$D$8),16)&lt;4,"A",IF(MOD(INT((AF$13-'設定'!$B$4)/7)+IF('設定'!$D$8="",0,'設定'!$D$8),16)&lt;8,"P",IF(MOD(INT((AF$13-'設定'!$B$4)/7)+IF('設定'!$D$8="",0,'設定'!$D$8),16)&lt;12,"N","P"))),""))))))</f>
        <v/>
      </c>
      <c r="AG14" s="24">
        <f>IF(AG$13="","",IF('設定'!$B$8="","",IF(COUNTIFS(LeaveName,'設定'!$B$8,LeaveType,"AL",LeaveDate,"&gt;="&amp;AG$13,LeaveDate,"&lt;"&amp;AG$13+7)&gt;0,"AL",IF(COUNTIFS(LeaveName,'設定'!$B$8,LeaveType,"SL",LeaveDate,"&gt;="&amp;AG$13,LeaveDate,"&lt;"&amp;AG$13+7)&gt;0,"SL",IF('設定'!$C$8="S","S",IF('設定'!$C$8="R",IF(MOD(INT((AG$13-'設定'!$B$4)/7)+IF('設定'!$D$8="",0,'設定'!$D$8),16)&lt;4,"A",IF(MOD(INT((AG$13-'設定'!$B$4)/7)+IF('設定'!$D$8="",0,'設定'!$D$8),16)&lt;8,"P",IF(MOD(INT((AG$13-'設定'!$B$4)/7)+IF('設定'!$D$8="",0,'設定'!$D$8),16)&lt;12,"N","P"))),""))))))</f>
        <v/>
      </c>
      <c r="AH14" s="24">
        <f>IF(AH$13="","",IF('設定'!$B$8="","",IF(COUNTIFS(LeaveName,'設定'!$B$8,LeaveType,"AL",LeaveDate,"&gt;="&amp;AH$13,LeaveDate,"&lt;"&amp;AH$13+7)&gt;0,"AL",IF(COUNTIFS(LeaveName,'設定'!$B$8,LeaveType,"SL",LeaveDate,"&gt;="&amp;AH$13,LeaveDate,"&lt;"&amp;AH$13+7)&gt;0,"SL",IF('設定'!$C$8="S","S",IF('設定'!$C$8="R",IF(MOD(INT((AH$13-'設定'!$B$4)/7)+IF('設定'!$D$8="",0,'設定'!$D$8),16)&lt;4,"A",IF(MOD(INT((AH$13-'設定'!$B$4)/7)+IF('設定'!$D$8="",0,'設定'!$D$8),16)&lt;8,"P",IF(MOD(INT((AH$13-'設定'!$B$4)/7)+IF('設定'!$D$8="",0,'設定'!$D$8),16)&lt;12,"N","P"))),""))))))</f>
        <v/>
      </c>
      <c r="AI14" s="24">
        <f>IF(AI$13="","",IF('設定'!$B$8="","",IF(COUNTIFS(LeaveName,'設定'!$B$8,LeaveType,"AL",LeaveDate,"&gt;="&amp;AI$13,LeaveDate,"&lt;"&amp;AI$13+7)&gt;0,"AL",IF(COUNTIFS(LeaveName,'設定'!$B$8,LeaveType,"SL",LeaveDate,"&gt;="&amp;AI$13,LeaveDate,"&lt;"&amp;AI$13+7)&gt;0,"SL",IF('設定'!$C$8="S","S",IF('設定'!$C$8="R",IF(MOD(INT((AI$13-'設定'!$B$4)/7)+IF('設定'!$D$8="",0,'設定'!$D$8),16)&lt;4,"A",IF(MOD(INT((AI$13-'設定'!$B$4)/7)+IF('設定'!$D$8="",0,'設定'!$D$8),16)&lt;8,"P",IF(MOD(INT((AI$13-'設定'!$B$4)/7)+IF('設定'!$D$8="",0,'設定'!$D$8),16)&lt;12,"N","P"))),""))))))</f>
        <v/>
      </c>
      <c r="AJ14" s="24">
        <f>IF(AJ$13="","",IF('設定'!$B$8="","",IF(COUNTIFS(LeaveName,'設定'!$B$8,LeaveType,"AL",LeaveDate,"&gt;="&amp;AJ$13,LeaveDate,"&lt;"&amp;AJ$13+7)&gt;0,"AL",IF(COUNTIFS(LeaveName,'設定'!$B$8,LeaveType,"SL",LeaveDate,"&gt;="&amp;AJ$13,LeaveDate,"&lt;"&amp;AJ$13+7)&gt;0,"SL",IF('設定'!$C$8="S","S",IF('設定'!$C$8="R",IF(MOD(INT((AJ$13-'設定'!$B$4)/7)+IF('設定'!$D$8="",0,'設定'!$D$8),16)&lt;4,"A",IF(MOD(INT((AJ$13-'設定'!$B$4)/7)+IF('設定'!$D$8="",0,'設定'!$D$8),16)&lt;8,"P",IF(MOD(INT((AJ$13-'設定'!$B$4)/7)+IF('設定'!$D$8="",0,'設定'!$D$8),16)&lt;12,"N","P"))),""))))))</f>
        <v/>
      </c>
      <c r="AK14" s="24">
        <f>IF(AK$13="","",IF('設定'!$B$8="","",IF(COUNTIFS(LeaveName,'設定'!$B$8,LeaveType,"AL",LeaveDate,"&gt;="&amp;AK$13,LeaveDate,"&lt;"&amp;AK$13+7)&gt;0,"AL",IF(COUNTIFS(LeaveName,'設定'!$B$8,LeaveType,"SL",LeaveDate,"&gt;="&amp;AK$13,LeaveDate,"&lt;"&amp;AK$13+7)&gt;0,"SL",IF('設定'!$C$8="S","S",IF('設定'!$C$8="R",IF(MOD(INT((AK$13-'設定'!$B$4)/7)+IF('設定'!$D$8="",0,'設定'!$D$8),16)&lt;4,"A",IF(MOD(INT((AK$13-'設定'!$B$4)/7)+IF('設定'!$D$8="",0,'設定'!$D$8),16)&lt;8,"P",IF(MOD(INT((AK$13-'設定'!$B$4)/7)+IF('設定'!$D$8="",0,'設定'!$D$8),16)&lt;12,"N","P"))),""))))))</f>
        <v/>
      </c>
      <c r="AL14" s="24">
        <f>IF(AL$13="","",IF('設定'!$B$8="","",IF(COUNTIFS(LeaveName,'設定'!$B$8,LeaveType,"AL",LeaveDate,"&gt;="&amp;AL$13,LeaveDate,"&lt;"&amp;AL$13+7)&gt;0,"AL",IF(COUNTIFS(LeaveName,'設定'!$B$8,LeaveType,"SL",LeaveDate,"&gt;="&amp;AL$13,LeaveDate,"&lt;"&amp;AL$13+7)&gt;0,"SL",IF('設定'!$C$8="S","S",IF('設定'!$C$8="R",IF(MOD(INT((AL$13-'設定'!$B$4)/7)+IF('設定'!$D$8="",0,'設定'!$D$8),16)&lt;4,"A",IF(MOD(INT((AL$13-'設定'!$B$4)/7)+IF('設定'!$D$8="",0,'設定'!$D$8),16)&lt;8,"P",IF(MOD(INT((AL$13-'設定'!$B$4)/7)+IF('設定'!$D$8="",0,'設定'!$D$8),16)&lt;12,"N","P"))),""))))))</f>
        <v/>
      </c>
      <c r="AM14" s="24">
        <f>IF(AM$13="","",IF('設定'!$B$8="","",IF(COUNTIFS(LeaveName,'設定'!$B$8,LeaveType,"AL",LeaveDate,"&gt;="&amp;AM$13,LeaveDate,"&lt;"&amp;AM$13+7)&gt;0,"AL",IF(COUNTIFS(LeaveName,'設定'!$B$8,LeaveType,"SL",LeaveDate,"&gt;="&amp;AM$13,LeaveDate,"&lt;"&amp;AM$13+7)&gt;0,"SL",IF('設定'!$C$8="S","S",IF('設定'!$C$8="R",IF(MOD(INT((AM$13-'設定'!$B$4)/7)+IF('設定'!$D$8="",0,'設定'!$D$8),16)&lt;4,"A",IF(MOD(INT((AM$13-'設定'!$B$4)/7)+IF('設定'!$D$8="",0,'設定'!$D$8),16)&lt;8,"P",IF(MOD(INT((AM$13-'設定'!$B$4)/7)+IF('設定'!$D$8="",0,'設定'!$D$8),16)&lt;12,"N","P"))),""))))))</f>
        <v/>
      </c>
      <c r="AN14" s="24">
        <f>IF(AN$13="","",IF('設定'!$B$8="","",IF(COUNTIFS(LeaveName,'設定'!$B$8,LeaveType,"AL",LeaveDate,"&gt;="&amp;AN$13,LeaveDate,"&lt;"&amp;AN$13+7)&gt;0,"AL",IF(COUNTIFS(LeaveName,'設定'!$B$8,LeaveType,"SL",LeaveDate,"&gt;="&amp;AN$13,LeaveDate,"&lt;"&amp;AN$13+7)&gt;0,"SL",IF('設定'!$C$8="S","S",IF('設定'!$C$8="R",IF(MOD(INT((AN$13-'設定'!$B$4)/7)+IF('設定'!$D$8="",0,'設定'!$D$8),16)&lt;4,"A",IF(MOD(INT((AN$13-'設定'!$B$4)/7)+IF('設定'!$D$8="",0,'設定'!$D$8),16)&lt;8,"P",IF(MOD(INT((AN$13-'設定'!$B$4)/7)+IF('設定'!$D$8="",0,'設定'!$D$8),16)&lt;12,"N","P"))),""))))))</f>
        <v/>
      </c>
      <c r="AO14" s="24">
        <f>IF(AO$13="","",IF('設定'!$B$8="","",IF(COUNTIFS(LeaveName,'設定'!$B$8,LeaveType,"AL",LeaveDate,"&gt;="&amp;AO$13,LeaveDate,"&lt;"&amp;AO$13+7)&gt;0,"AL",IF(COUNTIFS(LeaveName,'設定'!$B$8,LeaveType,"SL",LeaveDate,"&gt;="&amp;AO$13,LeaveDate,"&lt;"&amp;AO$13+7)&gt;0,"SL",IF('設定'!$C$8="S","S",IF('設定'!$C$8="R",IF(MOD(INT((AO$13-'設定'!$B$4)/7)+IF('設定'!$D$8="",0,'設定'!$D$8),16)&lt;4,"A",IF(MOD(INT((AO$13-'設定'!$B$4)/7)+IF('設定'!$D$8="",0,'設定'!$D$8),16)&lt;8,"P",IF(MOD(INT((AO$13-'設定'!$B$4)/7)+IF('設定'!$D$8="",0,'設定'!$D$8),16)&lt;12,"N","P"))),""))))))</f>
        <v/>
      </c>
      <c r="AP14" s="24">
        <f>IF(AP$13="","",IF('設定'!$B$8="","",IF(COUNTIFS(LeaveName,'設定'!$B$8,LeaveType,"AL",LeaveDate,"&gt;="&amp;AP$13,LeaveDate,"&lt;"&amp;AP$13+7)&gt;0,"AL",IF(COUNTIFS(LeaveName,'設定'!$B$8,LeaveType,"SL",LeaveDate,"&gt;="&amp;AP$13,LeaveDate,"&lt;"&amp;AP$13+7)&gt;0,"SL",IF('設定'!$C$8="S","S",IF('設定'!$C$8="R",IF(MOD(INT((AP$13-'設定'!$B$4)/7)+IF('設定'!$D$8="",0,'設定'!$D$8),16)&lt;4,"A",IF(MOD(INT((AP$13-'設定'!$B$4)/7)+IF('設定'!$D$8="",0,'設定'!$D$8),16)&lt;8,"P",IF(MOD(INT((AP$13-'設定'!$B$4)/7)+IF('設定'!$D$8="",0,'設定'!$D$8),16)&lt;12,"N","P"))),""))))))</f>
        <v/>
      </c>
      <c r="AQ14" s="24">
        <f>IF(AQ$13="","",IF('設定'!$B$8="","",IF(COUNTIFS(LeaveName,'設定'!$B$8,LeaveType,"AL",LeaveDate,"&gt;="&amp;AQ$13,LeaveDate,"&lt;"&amp;AQ$13+7)&gt;0,"AL",IF(COUNTIFS(LeaveName,'設定'!$B$8,LeaveType,"SL",LeaveDate,"&gt;="&amp;AQ$13,LeaveDate,"&lt;"&amp;AQ$13+7)&gt;0,"SL",IF('設定'!$C$8="S","S",IF('設定'!$C$8="R",IF(MOD(INT((AQ$13-'設定'!$B$4)/7)+IF('設定'!$D$8="",0,'設定'!$D$8),16)&lt;4,"A",IF(MOD(INT((AQ$13-'設定'!$B$4)/7)+IF('設定'!$D$8="",0,'設定'!$D$8),16)&lt;8,"P",IF(MOD(INT((AQ$13-'設定'!$B$4)/7)+IF('設定'!$D$8="",0,'設定'!$D$8),16)&lt;12,"N","P"))),""))))))</f>
        <v/>
      </c>
      <c r="AR14" s="24">
        <f>IF(AR$13="","",IF('設定'!$B$8="","",IF(COUNTIFS(LeaveName,'設定'!$B$8,LeaveType,"AL",LeaveDate,"&gt;="&amp;AR$13,LeaveDate,"&lt;"&amp;AR$13+7)&gt;0,"AL",IF(COUNTIFS(LeaveName,'設定'!$B$8,LeaveType,"SL",LeaveDate,"&gt;="&amp;AR$13,LeaveDate,"&lt;"&amp;AR$13+7)&gt;0,"SL",IF('設定'!$C$8="S","S",IF('設定'!$C$8="R",IF(MOD(INT((AR$13-'設定'!$B$4)/7)+IF('設定'!$D$8="",0,'設定'!$D$8),16)&lt;4,"A",IF(MOD(INT((AR$13-'設定'!$B$4)/7)+IF('設定'!$D$8="",0,'設定'!$D$8),16)&lt;8,"P",IF(MOD(INT((AR$13-'設定'!$B$4)/7)+IF('設定'!$D$8="",0,'設定'!$D$8),16)&lt;12,"N","P"))),""))))))</f>
        <v/>
      </c>
      <c r="AS14" s="24">
        <f>IF(AS$13="","",IF('設定'!$B$8="","",IF(COUNTIFS(LeaveName,'設定'!$B$8,LeaveType,"AL",LeaveDate,"&gt;="&amp;AS$13,LeaveDate,"&lt;"&amp;AS$13+7)&gt;0,"AL",IF(COUNTIFS(LeaveName,'設定'!$B$8,LeaveType,"SL",LeaveDate,"&gt;="&amp;AS$13,LeaveDate,"&lt;"&amp;AS$13+7)&gt;0,"SL",IF('設定'!$C$8="S","S",IF('設定'!$C$8="R",IF(MOD(INT((AS$13-'設定'!$B$4)/7)+IF('設定'!$D$8="",0,'設定'!$D$8),16)&lt;4,"A",IF(MOD(INT((AS$13-'設定'!$B$4)/7)+IF('設定'!$D$8="",0,'設定'!$D$8),16)&lt;8,"P",IF(MOD(INT((AS$13-'設定'!$B$4)/7)+IF('設定'!$D$8="",0,'設定'!$D$8),16)&lt;12,"N","P"))),""))))))</f>
        <v/>
      </c>
      <c r="AT14" s="24">
        <f>IF(AT$13="","",IF('設定'!$B$8="","",IF(COUNTIFS(LeaveName,'設定'!$B$8,LeaveType,"AL",LeaveDate,"&gt;="&amp;AT$13,LeaveDate,"&lt;"&amp;AT$13+7)&gt;0,"AL",IF(COUNTIFS(LeaveName,'設定'!$B$8,LeaveType,"SL",LeaveDate,"&gt;="&amp;AT$13,LeaveDate,"&lt;"&amp;AT$13+7)&gt;0,"SL",IF('設定'!$C$8="S","S",IF('設定'!$C$8="R",IF(MOD(INT((AT$13-'設定'!$B$4)/7)+IF('設定'!$D$8="",0,'設定'!$D$8),16)&lt;4,"A",IF(MOD(INT((AT$13-'設定'!$B$4)/7)+IF('設定'!$D$8="",0,'設定'!$D$8),16)&lt;8,"P",IF(MOD(INT((AT$13-'設定'!$B$4)/7)+IF('設定'!$D$8="",0,'設定'!$D$8),16)&lt;12,"N","P"))),""))))))</f>
        <v/>
      </c>
      <c r="AU14" s="24">
        <f>IF(AU$13="","",IF('設定'!$B$8="","",IF(COUNTIFS(LeaveName,'設定'!$B$8,LeaveType,"AL",LeaveDate,"&gt;="&amp;AU$13,LeaveDate,"&lt;"&amp;AU$13+7)&gt;0,"AL",IF(COUNTIFS(LeaveName,'設定'!$B$8,LeaveType,"SL",LeaveDate,"&gt;="&amp;AU$13,LeaveDate,"&lt;"&amp;AU$13+7)&gt;0,"SL",IF('設定'!$C$8="S","S",IF('設定'!$C$8="R",IF(MOD(INT((AU$13-'設定'!$B$4)/7)+IF('設定'!$D$8="",0,'設定'!$D$8),16)&lt;4,"A",IF(MOD(INT((AU$13-'設定'!$B$4)/7)+IF('設定'!$D$8="",0,'設定'!$D$8),16)&lt;8,"P",IF(MOD(INT((AU$13-'設定'!$B$4)/7)+IF('設定'!$D$8="",0,'設定'!$D$8),16)&lt;12,"N","P"))),""))))))</f>
        <v/>
      </c>
      <c r="AV14" s="24">
        <f>IF(AV$13="","",IF('設定'!$B$8="","",IF(COUNTIFS(LeaveName,'設定'!$B$8,LeaveType,"AL",LeaveDate,"&gt;="&amp;AV$13,LeaveDate,"&lt;"&amp;AV$13+7)&gt;0,"AL",IF(COUNTIFS(LeaveName,'設定'!$B$8,LeaveType,"SL",LeaveDate,"&gt;="&amp;AV$13,LeaveDate,"&lt;"&amp;AV$13+7)&gt;0,"SL",IF('設定'!$C$8="S","S",IF('設定'!$C$8="R",IF(MOD(INT((AV$13-'設定'!$B$4)/7)+IF('設定'!$D$8="",0,'設定'!$D$8),16)&lt;4,"A",IF(MOD(INT((AV$13-'設定'!$B$4)/7)+IF('設定'!$D$8="",0,'設定'!$D$8),16)&lt;8,"P",IF(MOD(INT((AV$13-'設定'!$B$4)/7)+IF('設定'!$D$8="",0,'設定'!$D$8),16)&lt;12,"N","P"))),""))))))</f>
        <v/>
      </c>
      <c r="AW14" s="24">
        <f>IF(AW$13="","",IF('設定'!$B$8="","",IF(COUNTIFS(LeaveName,'設定'!$B$8,LeaveType,"AL",LeaveDate,"&gt;="&amp;AW$13,LeaveDate,"&lt;"&amp;AW$13+7)&gt;0,"AL",IF(COUNTIFS(LeaveName,'設定'!$B$8,LeaveType,"SL",LeaveDate,"&gt;="&amp;AW$13,LeaveDate,"&lt;"&amp;AW$13+7)&gt;0,"SL",IF('設定'!$C$8="S","S",IF('設定'!$C$8="R",IF(MOD(INT((AW$13-'設定'!$B$4)/7)+IF('設定'!$D$8="",0,'設定'!$D$8),16)&lt;4,"A",IF(MOD(INT((AW$13-'設定'!$B$4)/7)+IF('設定'!$D$8="",0,'設定'!$D$8),16)&lt;8,"P",IF(MOD(INT((AW$13-'設定'!$B$4)/7)+IF('設定'!$D$8="",0,'設定'!$D$8),16)&lt;12,"N","P"))),""))))))</f>
        <v/>
      </c>
      <c r="AX14" s="24">
        <f>IF(AX$13="","",IF('設定'!$B$8="","",IF(COUNTIFS(LeaveName,'設定'!$B$8,LeaveType,"AL",LeaveDate,"&gt;="&amp;AX$13,LeaveDate,"&lt;"&amp;AX$13+7)&gt;0,"AL",IF(COUNTIFS(LeaveName,'設定'!$B$8,LeaveType,"SL",LeaveDate,"&gt;="&amp;AX$13,LeaveDate,"&lt;"&amp;AX$13+7)&gt;0,"SL",IF('設定'!$C$8="S","S",IF('設定'!$C$8="R",IF(MOD(INT((AX$13-'設定'!$B$4)/7)+IF('設定'!$D$8="",0,'設定'!$D$8),16)&lt;4,"A",IF(MOD(INT((AX$13-'設定'!$B$4)/7)+IF('設定'!$D$8="",0,'設定'!$D$8),16)&lt;8,"P",IF(MOD(INT((AX$13-'設定'!$B$4)/7)+IF('設定'!$D$8="",0,'設定'!$D$8),16)&lt;12,"N","P"))),""))))))</f>
        <v/>
      </c>
      <c r="AY14" s="24">
        <f>IF(AY$13="","",IF('設定'!$B$8="","",IF(COUNTIFS(LeaveName,'設定'!$B$8,LeaveType,"AL",LeaveDate,"&gt;="&amp;AY$13,LeaveDate,"&lt;"&amp;AY$13+7)&gt;0,"AL",IF(COUNTIFS(LeaveName,'設定'!$B$8,LeaveType,"SL",LeaveDate,"&gt;="&amp;AY$13,LeaveDate,"&lt;"&amp;AY$13+7)&gt;0,"SL",IF('設定'!$C$8="S","S",IF('設定'!$C$8="R",IF(MOD(INT((AY$13-'設定'!$B$4)/7)+IF('設定'!$D$8="",0,'設定'!$D$8),16)&lt;4,"A",IF(MOD(INT((AY$13-'設定'!$B$4)/7)+IF('設定'!$D$8="",0,'設定'!$D$8),16)&lt;8,"P",IF(MOD(INT((AY$13-'設定'!$B$4)/7)+IF('設定'!$D$8="",0,'設定'!$D$8),16)&lt;12,"N","P"))),""))))))</f>
        <v/>
      </c>
      <c r="AZ14" s="24">
        <f>IF(AZ$13="","",IF('設定'!$B$8="","",IF(COUNTIFS(LeaveName,'設定'!$B$8,LeaveType,"AL",LeaveDate,"&gt;="&amp;AZ$13,LeaveDate,"&lt;"&amp;AZ$13+7)&gt;0,"AL",IF(COUNTIFS(LeaveName,'設定'!$B$8,LeaveType,"SL",LeaveDate,"&gt;="&amp;AZ$13,LeaveDate,"&lt;"&amp;AZ$13+7)&gt;0,"SL",IF('設定'!$C$8="S","S",IF('設定'!$C$8="R",IF(MOD(INT((AZ$13-'設定'!$B$4)/7)+IF('設定'!$D$8="",0,'設定'!$D$8),16)&lt;4,"A",IF(MOD(INT((AZ$13-'設定'!$B$4)/7)+IF('設定'!$D$8="",0,'設定'!$D$8),16)&lt;8,"P",IF(MOD(INT((AZ$13-'設定'!$B$4)/7)+IF('設定'!$D$8="",0,'設定'!$D$8),16)&lt;12,"N","P"))),""))))))</f>
        <v/>
      </c>
      <c r="BA14" s="24">
        <f>IF(BA$13="","",IF('設定'!$B$8="","",IF(COUNTIFS(LeaveName,'設定'!$B$8,LeaveType,"AL",LeaveDate,"&gt;="&amp;BA$13,LeaveDate,"&lt;"&amp;BA$13+7)&gt;0,"AL",IF(COUNTIFS(LeaveName,'設定'!$B$8,LeaveType,"SL",LeaveDate,"&gt;="&amp;BA$13,LeaveDate,"&lt;"&amp;BA$13+7)&gt;0,"SL",IF('設定'!$C$8="S","S",IF('設定'!$C$8="R",IF(MOD(INT((BA$13-'設定'!$B$4)/7)+IF('設定'!$D$8="",0,'設定'!$D$8),16)&lt;4,"A",IF(MOD(INT((BA$13-'設定'!$B$4)/7)+IF('設定'!$D$8="",0,'設定'!$D$8),16)&lt;8,"P",IF(MOD(INT((BA$13-'設定'!$B$4)/7)+IF('設定'!$D$8="",0,'設定'!$D$8),16)&lt;12,"N","P"))),""))))))</f>
        <v/>
      </c>
      <c r="BB14" s="24">
        <f>IF(BB$13="","",IF('設定'!$B$8="","",IF(COUNTIFS(LeaveName,'設定'!$B$8,LeaveType,"AL",LeaveDate,"&gt;="&amp;BB$13,LeaveDate,"&lt;"&amp;BB$13+7)&gt;0,"AL",IF(COUNTIFS(LeaveName,'設定'!$B$8,LeaveType,"SL",LeaveDate,"&gt;="&amp;BB$13,LeaveDate,"&lt;"&amp;BB$13+7)&gt;0,"SL",IF('設定'!$C$8="S","S",IF('設定'!$C$8="R",IF(MOD(INT((BB$13-'設定'!$B$4)/7)+IF('設定'!$D$8="",0,'設定'!$D$8),16)&lt;4,"A",IF(MOD(INT((BB$13-'設定'!$B$4)/7)+IF('設定'!$D$8="",0,'設定'!$D$8),16)&lt;8,"P",IF(MOD(INT((BB$13-'設定'!$B$4)/7)+IF('設定'!$D$8="",0,'設定'!$D$8),16)&lt;12,"N","P"))),""))))))</f>
        <v/>
      </c>
      <c r="BC14" s="24">
        <f>IF(BC$13="","",IF('設定'!$B$8="","",IF(COUNTIFS(LeaveName,'設定'!$B$8,LeaveType,"AL",LeaveDate,"&gt;="&amp;BC$13,LeaveDate,"&lt;"&amp;BC$13+7)&gt;0,"AL",IF(COUNTIFS(LeaveName,'設定'!$B$8,LeaveType,"SL",LeaveDate,"&gt;="&amp;BC$13,LeaveDate,"&lt;"&amp;BC$13+7)&gt;0,"SL",IF('設定'!$C$8="S","S",IF('設定'!$C$8="R",IF(MOD(INT((BC$13-'設定'!$B$4)/7)+IF('設定'!$D$8="",0,'設定'!$D$8),16)&lt;4,"A",IF(MOD(INT((BC$13-'設定'!$B$4)/7)+IF('設定'!$D$8="",0,'設定'!$D$8),16)&lt;8,"P",IF(MOD(INT((BC$13-'設定'!$B$4)/7)+IF('設定'!$D$8="",0,'設定'!$D$8),16)&lt;12,"N","P"))),""))))))</f>
        <v/>
      </c>
      <c r="BD14" s="24">
        <f>IF(BD$13="","",IF('設定'!$B$8="","",IF(COUNTIFS(LeaveName,'設定'!$B$8,LeaveType,"AL",LeaveDate,"&gt;="&amp;BD$13,LeaveDate,"&lt;"&amp;BD$13+7)&gt;0,"AL",IF(COUNTIFS(LeaveName,'設定'!$B$8,LeaveType,"SL",LeaveDate,"&gt;="&amp;BD$13,LeaveDate,"&lt;"&amp;BD$13+7)&gt;0,"SL",IF('設定'!$C$8="S","S",IF('設定'!$C$8="R",IF(MOD(INT((BD$13-'設定'!$B$4)/7)+IF('設定'!$D$8="",0,'設定'!$D$8),16)&lt;4,"A",IF(MOD(INT((BD$13-'設定'!$B$4)/7)+IF('設定'!$D$8="",0,'設定'!$D$8),16)&lt;8,"P",IF(MOD(INT((BD$13-'設定'!$B$4)/7)+IF('設定'!$D$8="",0,'設定'!$D$8),16)&lt;12,"N","P"))),""))))))</f>
        <v/>
      </c>
      <c r="BE14" s="24">
        <f>IF(BE$13="","",IF('設定'!$B$8="","",IF(COUNTIFS(LeaveName,'設定'!$B$8,LeaveType,"AL",LeaveDate,"&gt;="&amp;BE$13,LeaveDate,"&lt;"&amp;BE$13+7)&gt;0,"AL",IF(COUNTIFS(LeaveName,'設定'!$B$8,LeaveType,"SL",LeaveDate,"&gt;="&amp;BE$13,LeaveDate,"&lt;"&amp;BE$13+7)&gt;0,"SL",IF('設定'!$C$8="S","S",IF('設定'!$C$8="R",IF(MOD(INT((BE$13-'設定'!$B$4)/7)+IF('設定'!$D$8="",0,'設定'!$D$8),16)&lt;4,"A",IF(MOD(INT((BE$13-'設定'!$B$4)/7)+IF('設定'!$D$8="",0,'設定'!$D$8),16)&lt;8,"P",IF(MOD(INT((BE$13-'設定'!$B$4)/7)+IF('設定'!$D$8="",0,'設定'!$D$8),16)&lt;12,"N","P"))),""))))))</f>
        <v/>
      </c>
      <c r="BF14" s="24">
        <f>IF(BF$13="","",IF('設定'!$B$8="","",IF(COUNTIFS(LeaveName,'設定'!$B$8,LeaveType,"AL",LeaveDate,"&gt;="&amp;BF$13,LeaveDate,"&lt;"&amp;BF$13+7)&gt;0,"AL",IF(COUNTIFS(LeaveName,'設定'!$B$8,LeaveType,"SL",LeaveDate,"&gt;="&amp;BF$13,LeaveDate,"&lt;"&amp;BF$13+7)&gt;0,"SL",IF('設定'!$C$8="S","S",IF('設定'!$C$8="R",IF(MOD(INT((BF$13-'設定'!$B$4)/7)+IF('設定'!$D$8="",0,'設定'!$D$8),16)&lt;4,"A",IF(MOD(INT((BF$13-'設定'!$B$4)/7)+IF('設定'!$D$8="",0,'設定'!$D$8),16)&lt;8,"P",IF(MOD(INT((BF$13-'設定'!$B$4)/7)+IF('設定'!$D$8="",0,'設定'!$D$8),16)&lt;12,"N","P"))),""))))))</f>
        <v/>
      </c>
      <c r="BG14" s="24">
        <f>IF(BG$13="","",IF('設定'!$B$8="","",IF(COUNTIFS(LeaveName,'設定'!$B$8,LeaveType,"AL",LeaveDate,"&gt;="&amp;BG$13,LeaveDate,"&lt;"&amp;BG$13+7)&gt;0,"AL",IF(COUNTIFS(LeaveName,'設定'!$B$8,LeaveType,"SL",LeaveDate,"&gt;="&amp;BG$13,LeaveDate,"&lt;"&amp;BG$13+7)&gt;0,"SL",IF('設定'!$C$8="S","S",IF('設定'!$C$8="R",IF(MOD(INT((BG$13-'設定'!$B$4)/7)+IF('設定'!$D$8="",0,'設定'!$D$8),16)&lt;4,"A",IF(MOD(INT((BG$13-'設定'!$B$4)/7)+IF('設定'!$D$8="",0,'設定'!$D$8),16)&lt;8,"P",IF(MOD(INT((BG$13-'設定'!$B$4)/7)+IF('設定'!$D$8="",0,'設定'!$D$8),16)&lt;12,"N","P"))),""))))))</f>
        <v/>
      </c>
    </row>
    <row r="15" ht="22" customHeight="1">
      <c r="A15" s="20">
        <f>'設定'!B9</f>
        <v/>
      </c>
      <c r="B15" s="23">
        <f>IF(A15="","",COUNTIFS(LeaveName,A15,LeaveType,"AL",LeaveDate,"&gt;="&amp;DATE('設定'!$B$3,1,1),LeaveDate,"&lt;="&amp;DATE('設定'!$B$3,12,31)))</f>
        <v/>
      </c>
      <c r="C15" s="23">
        <f>IF(A15="","",IF('設定'!E9="","",'設定'!E9-B15))</f>
        <v/>
      </c>
      <c r="D15" s="21">
        <f>IF(A15="","",E15+F15)</f>
        <v/>
      </c>
      <c r="E15" s="22" t="n">
        <v>0</v>
      </c>
      <c r="F15" s="23">
        <f>IF(A15="","",CompYear2)</f>
        <v/>
      </c>
      <c r="G15" s="24">
        <f>IF(G$13="","",IF('設定'!$B$9="","",IF(COUNTIFS(LeaveName,'設定'!$B$9,LeaveType,"AL",LeaveDate,"&gt;="&amp;G$13,LeaveDate,"&lt;"&amp;G$13+7)&gt;0,"AL",IF(COUNTIFS(LeaveName,'設定'!$B$9,LeaveType,"SL",LeaveDate,"&gt;="&amp;G$13,LeaveDate,"&lt;"&amp;G$13+7)&gt;0,"SL",IF('設定'!$C$9="S","S",IF('設定'!$C$9="R",IF(MOD(INT((G$13-'設定'!$B$4)/7)+IF('設定'!$D$9="",0,'設定'!$D$9),16)&lt;4,"A",IF(MOD(INT((G$13-'設定'!$B$4)/7)+IF('設定'!$D$9="",0,'設定'!$D$9),16)&lt;8,"P",IF(MOD(INT((G$13-'設定'!$B$4)/7)+IF('設定'!$D$9="",0,'設定'!$D$9),16)&lt;12,"N","P"))),""))))))</f>
        <v/>
      </c>
      <c r="H15" s="24">
        <f>IF(H$13="","",IF('設定'!$B$9="","",IF(COUNTIFS(LeaveName,'設定'!$B$9,LeaveType,"AL",LeaveDate,"&gt;="&amp;H$13,LeaveDate,"&lt;"&amp;H$13+7)&gt;0,"AL",IF(COUNTIFS(LeaveName,'設定'!$B$9,LeaveType,"SL",LeaveDate,"&gt;="&amp;H$13,LeaveDate,"&lt;"&amp;H$13+7)&gt;0,"SL",IF('設定'!$C$9="S","S",IF('設定'!$C$9="R",IF(MOD(INT((H$13-'設定'!$B$4)/7)+IF('設定'!$D$9="",0,'設定'!$D$9),16)&lt;4,"A",IF(MOD(INT((H$13-'設定'!$B$4)/7)+IF('設定'!$D$9="",0,'設定'!$D$9),16)&lt;8,"P",IF(MOD(INT((H$13-'設定'!$B$4)/7)+IF('設定'!$D$9="",0,'設定'!$D$9),16)&lt;12,"N","P"))),""))))))</f>
        <v/>
      </c>
      <c r="I15" s="24">
        <f>IF(I$13="","",IF('設定'!$B$9="","",IF(COUNTIFS(LeaveName,'設定'!$B$9,LeaveType,"AL",LeaveDate,"&gt;="&amp;I$13,LeaveDate,"&lt;"&amp;I$13+7)&gt;0,"AL",IF(COUNTIFS(LeaveName,'設定'!$B$9,LeaveType,"SL",LeaveDate,"&gt;="&amp;I$13,LeaveDate,"&lt;"&amp;I$13+7)&gt;0,"SL",IF('設定'!$C$9="S","S",IF('設定'!$C$9="R",IF(MOD(INT((I$13-'設定'!$B$4)/7)+IF('設定'!$D$9="",0,'設定'!$D$9),16)&lt;4,"A",IF(MOD(INT((I$13-'設定'!$B$4)/7)+IF('設定'!$D$9="",0,'設定'!$D$9),16)&lt;8,"P",IF(MOD(INT((I$13-'設定'!$B$4)/7)+IF('設定'!$D$9="",0,'設定'!$D$9),16)&lt;12,"N","P"))),""))))))</f>
        <v/>
      </c>
      <c r="J15" s="24">
        <f>IF(J$13="","",IF('設定'!$B$9="","",IF(COUNTIFS(LeaveName,'設定'!$B$9,LeaveType,"AL",LeaveDate,"&gt;="&amp;J$13,LeaveDate,"&lt;"&amp;J$13+7)&gt;0,"AL",IF(COUNTIFS(LeaveName,'設定'!$B$9,LeaveType,"SL",LeaveDate,"&gt;="&amp;J$13,LeaveDate,"&lt;"&amp;J$13+7)&gt;0,"SL",IF('設定'!$C$9="S","S",IF('設定'!$C$9="R",IF(MOD(INT((J$13-'設定'!$B$4)/7)+IF('設定'!$D$9="",0,'設定'!$D$9),16)&lt;4,"A",IF(MOD(INT((J$13-'設定'!$B$4)/7)+IF('設定'!$D$9="",0,'設定'!$D$9),16)&lt;8,"P",IF(MOD(INT((J$13-'設定'!$B$4)/7)+IF('設定'!$D$9="",0,'設定'!$D$9),16)&lt;12,"N","P"))),""))))))</f>
        <v/>
      </c>
      <c r="K15" s="24">
        <f>IF(K$13="","",IF('設定'!$B$9="","",IF(COUNTIFS(LeaveName,'設定'!$B$9,LeaveType,"AL",LeaveDate,"&gt;="&amp;K$13,LeaveDate,"&lt;"&amp;K$13+7)&gt;0,"AL",IF(COUNTIFS(LeaveName,'設定'!$B$9,LeaveType,"SL",LeaveDate,"&gt;="&amp;K$13,LeaveDate,"&lt;"&amp;K$13+7)&gt;0,"SL",IF('設定'!$C$9="S","S",IF('設定'!$C$9="R",IF(MOD(INT((K$13-'設定'!$B$4)/7)+IF('設定'!$D$9="",0,'設定'!$D$9),16)&lt;4,"A",IF(MOD(INT((K$13-'設定'!$B$4)/7)+IF('設定'!$D$9="",0,'設定'!$D$9),16)&lt;8,"P",IF(MOD(INT((K$13-'設定'!$B$4)/7)+IF('設定'!$D$9="",0,'設定'!$D$9),16)&lt;12,"N","P"))),""))))))</f>
        <v/>
      </c>
      <c r="L15" s="24">
        <f>IF(L$13="","",IF('設定'!$B$9="","",IF(COUNTIFS(LeaveName,'設定'!$B$9,LeaveType,"AL",LeaveDate,"&gt;="&amp;L$13,LeaveDate,"&lt;"&amp;L$13+7)&gt;0,"AL",IF(COUNTIFS(LeaveName,'設定'!$B$9,LeaveType,"SL",LeaveDate,"&gt;="&amp;L$13,LeaveDate,"&lt;"&amp;L$13+7)&gt;0,"SL",IF('設定'!$C$9="S","S",IF('設定'!$C$9="R",IF(MOD(INT((L$13-'設定'!$B$4)/7)+IF('設定'!$D$9="",0,'設定'!$D$9),16)&lt;4,"A",IF(MOD(INT((L$13-'設定'!$B$4)/7)+IF('設定'!$D$9="",0,'設定'!$D$9),16)&lt;8,"P",IF(MOD(INT((L$13-'設定'!$B$4)/7)+IF('設定'!$D$9="",0,'設定'!$D$9),16)&lt;12,"N","P"))),""))))))</f>
        <v/>
      </c>
      <c r="M15" s="24">
        <f>IF(M$13="","",IF('設定'!$B$9="","",IF(COUNTIFS(LeaveName,'設定'!$B$9,LeaveType,"AL",LeaveDate,"&gt;="&amp;M$13,LeaveDate,"&lt;"&amp;M$13+7)&gt;0,"AL",IF(COUNTIFS(LeaveName,'設定'!$B$9,LeaveType,"SL",LeaveDate,"&gt;="&amp;M$13,LeaveDate,"&lt;"&amp;M$13+7)&gt;0,"SL",IF('設定'!$C$9="S","S",IF('設定'!$C$9="R",IF(MOD(INT((M$13-'設定'!$B$4)/7)+IF('設定'!$D$9="",0,'設定'!$D$9),16)&lt;4,"A",IF(MOD(INT((M$13-'設定'!$B$4)/7)+IF('設定'!$D$9="",0,'設定'!$D$9),16)&lt;8,"P",IF(MOD(INT((M$13-'設定'!$B$4)/7)+IF('設定'!$D$9="",0,'設定'!$D$9),16)&lt;12,"N","P"))),""))))))</f>
        <v/>
      </c>
      <c r="N15" s="24">
        <f>IF(N$13="","",IF('設定'!$B$9="","",IF(COUNTIFS(LeaveName,'設定'!$B$9,LeaveType,"AL",LeaveDate,"&gt;="&amp;N$13,LeaveDate,"&lt;"&amp;N$13+7)&gt;0,"AL",IF(COUNTIFS(LeaveName,'設定'!$B$9,LeaveType,"SL",LeaveDate,"&gt;="&amp;N$13,LeaveDate,"&lt;"&amp;N$13+7)&gt;0,"SL",IF('設定'!$C$9="S","S",IF('設定'!$C$9="R",IF(MOD(INT((N$13-'設定'!$B$4)/7)+IF('設定'!$D$9="",0,'設定'!$D$9),16)&lt;4,"A",IF(MOD(INT((N$13-'設定'!$B$4)/7)+IF('設定'!$D$9="",0,'設定'!$D$9),16)&lt;8,"P",IF(MOD(INT((N$13-'設定'!$B$4)/7)+IF('設定'!$D$9="",0,'設定'!$D$9),16)&lt;12,"N","P"))),""))))))</f>
        <v/>
      </c>
      <c r="O15" s="24">
        <f>IF(O$13="","",IF('設定'!$B$9="","",IF(COUNTIFS(LeaveName,'設定'!$B$9,LeaveType,"AL",LeaveDate,"&gt;="&amp;O$13,LeaveDate,"&lt;"&amp;O$13+7)&gt;0,"AL",IF(COUNTIFS(LeaveName,'設定'!$B$9,LeaveType,"SL",LeaveDate,"&gt;="&amp;O$13,LeaveDate,"&lt;"&amp;O$13+7)&gt;0,"SL",IF('設定'!$C$9="S","S",IF('設定'!$C$9="R",IF(MOD(INT((O$13-'設定'!$B$4)/7)+IF('設定'!$D$9="",0,'設定'!$D$9),16)&lt;4,"A",IF(MOD(INT((O$13-'設定'!$B$4)/7)+IF('設定'!$D$9="",0,'設定'!$D$9),16)&lt;8,"P",IF(MOD(INT((O$13-'設定'!$B$4)/7)+IF('設定'!$D$9="",0,'設定'!$D$9),16)&lt;12,"N","P"))),""))))))</f>
        <v/>
      </c>
      <c r="P15" s="24">
        <f>IF(P$13="","",IF('設定'!$B$9="","",IF(COUNTIFS(LeaveName,'設定'!$B$9,LeaveType,"AL",LeaveDate,"&gt;="&amp;P$13,LeaveDate,"&lt;"&amp;P$13+7)&gt;0,"AL",IF(COUNTIFS(LeaveName,'設定'!$B$9,LeaveType,"SL",LeaveDate,"&gt;="&amp;P$13,LeaveDate,"&lt;"&amp;P$13+7)&gt;0,"SL",IF('設定'!$C$9="S","S",IF('設定'!$C$9="R",IF(MOD(INT((P$13-'設定'!$B$4)/7)+IF('設定'!$D$9="",0,'設定'!$D$9),16)&lt;4,"A",IF(MOD(INT((P$13-'設定'!$B$4)/7)+IF('設定'!$D$9="",0,'設定'!$D$9),16)&lt;8,"P",IF(MOD(INT((P$13-'設定'!$B$4)/7)+IF('設定'!$D$9="",0,'設定'!$D$9),16)&lt;12,"N","P"))),""))))))</f>
        <v/>
      </c>
      <c r="Q15" s="24">
        <f>IF(Q$13="","",IF('設定'!$B$9="","",IF(COUNTIFS(LeaveName,'設定'!$B$9,LeaveType,"AL",LeaveDate,"&gt;="&amp;Q$13,LeaveDate,"&lt;"&amp;Q$13+7)&gt;0,"AL",IF(COUNTIFS(LeaveName,'設定'!$B$9,LeaveType,"SL",LeaveDate,"&gt;="&amp;Q$13,LeaveDate,"&lt;"&amp;Q$13+7)&gt;0,"SL",IF('設定'!$C$9="S","S",IF('設定'!$C$9="R",IF(MOD(INT((Q$13-'設定'!$B$4)/7)+IF('設定'!$D$9="",0,'設定'!$D$9),16)&lt;4,"A",IF(MOD(INT((Q$13-'設定'!$B$4)/7)+IF('設定'!$D$9="",0,'設定'!$D$9),16)&lt;8,"P",IF(MOD(INT((Q$13-'設定'!$B$4)/7)+IF('設定'!$D$9="",0,'設定'!$D$9),16)&lt;12,"N","P"))),""))))))</f>
        <v/>
      </c>
      <c r="R15" s="24">
        <f>IF(R$13="","",IF('設定'!$B$9="","",IF(COUNTIFS(LeaveName,'設定'!$B$9,LeaveType,"AL",LeaveDate,"&gt;="&amp;R$13,LeaveDate,"&lt;"&amp;R$13+7)&gt;0,"AL",IF(COUNTIFS(LeaveName,'設定'!$B$9,LeaveType,"SL",LeaveDate,"&gt;="&amp;R$13,LeaveDate,"&lt;"&amp;R$13+7)&gt;0,"SL",IF('設定'!$C$9="S","S",IF('設定'!$C$9="R",IF(MOD(INT((R$13-'設定'!$B$4)/7)+IF('設定'!$D$9="",0,'設定'!$D$9),16)&lt;4,"A",IF(MOD(INT((R$13-'設定'!$B$4)/7)+IF('設定'!$D$9="",0,'設定'!$D$9),16)&lt;8,"P",IF(MOD(INT((R$13-'設定'!$B$4)/7)+IF('設定'!$D$9="",0,'設定'!$D$9),16)&lt;12,"N","P"))),""))))))</f>
        <v/>
      </c>
      <c r="S15" s="24">
        <f>IF(S$13="","",IF('設定'!$B$9="","",IF(COUNTIFS(LeaveName,'設定'!$B$9,LeaveType,"AL",LeaveDate,"&gt;="&amp;S$13,LeaveDate,"&lt;"&amp;S$13+7)&gt;0,"AL",IF(COUNTIFS(LeaveName,'設定'!$B$9,LeaveType,"SL",LeaveDate,"&gt;="&amp;S$13,LeaveDate,"&lt;"&amp;S$13+7)&gt;0,"SL",IF('設定'!$C$9="S","S",IF('設定'!$C$9="R",IF(MOD(INT((S$13-'設定'!$B$4)/7)+IF('設定'!$D$9="",0,'設定'!$D$9),16)&lt;4,"A",IF(MOD(INT((S$13-'設定'!$B$4)/7)+IF('設定'!$D$9="",0,'設定'!$D$9),16)&lt;8,"P",IF(MOD(INT((S$13-'設定'!$B$4)/7)+IF('設定'!$D$9="",0,'設定'!$D$9),16)&lt;12,"N","P"))),""))))))</f>
        <v/>
      </c>
      <c r="T15" s="24">
        <f>IF(T$13="","",IF('設定'!$B$9="","",IF(COUNTIFS(LeaveName,'設定'!$B$9,LeaveType,"AL",LeaveDate,"&gt;="&amp;T$13,LeaveDate,"&lt;"&amp;T$13+7)&gt;0,"AL",IF(COUNTIFS(LeaveName,'設定'!$B$9,LeaveType,"SL",LeaveDate,"&gt;="&amp;T$13,LeaveDate,"&lt;"&amp;T$13+7)&gt;0,"SL",IF('設定'!$C$9="S","S",IF('設定'!$C$9="R",IF(MOD(INT((T$13-'設定'!$B$4)/7)+IF('設定'!$D$9="",0,'設定'!$D$9),16)&lt;4,"A",IF(MOD(INT((T$13-'設定'!$B$4)/7)+IF('設定'!$D$9="",0,'設定'!$D$9),16)&lt;8,"P",IF(MOD(INT((T$13-'設定'!$B$4)/7)+IF('設定'!$D$9="",0,'設定'!$D$9),16)&lt;12,"N","P"))),""))))))</f>
        <v/>
      </c>
      <c r="U15" s="24">
        <f>IF(U$13="","",IF('設定'!$B$9="","",IF(COUNTIFS(LeaveName,'設定'!$B$9,LeaveType,"AL",LeaveDate,"&gt;="&amp;U$13,LeaveDate,"&lt;"&amp;U$13+7)&gt;0,"AL",IF(COUNTIFS(LeaveName,'設定'!$B$9,LeaveType,"SL",LeaveDate,"&gt;="&amp;U$13,LeaveDate,"&lt;"&amp;U$13+7)&gt;0,"SL",IF('設定'!$C$9="S","S",IF('設定'!$C$9="R",IF(MOD(INT((U$13-'設定'!$B$4)/7)+IF('設定'!$D$9="",0,'設定'!$D$9),16)&lt;4,"A",IF(MOD(INT((U$13-'設定'!$B$4)/7)+IF('設定'!$D$9="",0,'設定'!$D$9),16)&lt;8,"P",IF(MOD(INT((U$13-'設定'!$B$4)/7)+IF('設定'!$D$9="",0,'設定'!$D$9),16)&lt;12,"N","P"))),""))))))</f>
        <v/>
      </c>
      <c r="V15" s="24">
        <f>IF(V$13="","",IF('設定'!$B$9="","",IF(COUNTIFS(LeaveName,'設定'!$B$9,LeaveType,"AL",LeaveDate,"&gt;="&amp;V$13,LeaveDate,"&lt;"&amp;V$13+7)&gt;0,"AL",IF(COUNTIFS(LeaveName,'設定'!$B$9,LeaveType,"SL",LeaveDate,"&gt;="&amp;V$13,LeaveDate,"&lt;"&amp;V$13+7)&gt;0,"SL",IF('設定'!$C$9="S","S",IF('設定'!$C$9="R",IF(MOD(INT((V$13-'設定'!$B$4)/7)+IF('設定'!$D$9="",0,'設定'!$D$9),16)&lt;4,"A",IF(MOD(INT((V$13-'設定'!$B$4)/7)+IF('設定'!$D$9="",0,'設定'!$D$9),16)&lt;8,"P",IF(MOD(INT((V$13-'設定'!$B$4)/7)+IF('設定'!$D$9="",0,'設定'!$D$9),16)&lt;12,"N","P"))),""))))))</f>
        <v/>
      </c>
      <c r="W15" s="24">
        <f>IF(W$13="","",IF('設定'!$B$9="","",IF(COUNTIFS(LeaveName,'設定'!$B$9,LeaveType,"AL",LeaveDate,"&gt;="&amp;W$13,LeaveDate,"&lt;"&amp;W$13+7)&gt;0,"AL",IF(COUNTIFS(LeaveName,'設定'!$B$9,LeaveType,"SL",LeaveDate,"&gt;="&amp;W$13,LeaveDate,"&lt;"&amp;W$13+7)&gt;0,"SL",IF('設定'!$C$9="S","S",IF('設定'!$C$9="R",IF(MOD(INT((W$13-'設定'!$B$4)/7)+IF('設定'!$D$9="",0,'設定'!$D$9),16)&lt;4,"A",IF(MOD(INT((W$13-'設定'!$B$4)/7)+IF('設定'!$D$9="",0,'設定'!$D$9),16)&lt;8,"P",IF(MOD(INT((W$13-'設定'!$B$4)/7)+IF('設定'!$D$9="",0,'設定'!$D$9),16)&lt;12,"N","P"))),""))))))</f>
        <v/>
      </c>
      <c r="X15" s="24">
        <f>IF(X$13="","",IF('設定'!$B$9="","",IF(COUNTIFS(LeaveName,'設定'!$B$9,LeaveType,"AL",LeaveDate,"&gt;="&amp;X$13,LeaveDate,"&lt;"&amp;X$13+7)&gt;0,"AL",IF(COUNTIFS(LeaveName,'設定'!$B$9,LeaveType,"SL",LeaveDate,"&gt;="&amp;X$13,LeaveDate,"&lt;"&amp;X$13+7)&gt;0,"SL",IF('設定'!$C$9="S","S",IF('設定'!$C$9="R",IF(MOD(INT((X$13-'設定'!$B$4)/7)+IF('設定'!$D$9="",0,'設定'!$D$9),16)&lt;4,"A",IF(MOD(INT((X$13-'設定'!$B$4)/7)+IF('設定'!$D$9="",0,'設定'!$D$9),16)&lt;8,"P",IF(MOD(INT((X$13-'設定'!$B$4)/7)+IF('設定'!$D$9="",0,'設定'!$D$9),16)&lt;12,"N","P"))),""))))))</f>
        <v/>
      </c>
      <c r="Y15" s="24">
        <f>IF(Y$13="","",IF('設定'!$B$9="","",IF(COUNTIFS(LeaveName,'設定'!$B$9,LeaveType,"AL",LeaveDate,"&gt;="&amp;Y$13,LeaveDate,"&lt;"&amp;Y$13+7)&gt;0,"AL",IF(COUNTIFS(LeaveName,'設定'!$B$9,LeaveType,"SL",LeaveDate,"&gt;="&amp;Y$13,LeaveDate,"&lt;"&amp;Y$13+7)&gt;0,"SL",IF('設定'!$C$9="S","S",IF('設定'!$C$9="R",IF(MOD(INT((Y$13-'設定'!$B$4)/7)+IF('設定'!$D$9="",0,'設定'!$D$9),16)&lt;4,"A",IF(MOD(INT((Y$13-'設定'!$B$4)/7)+IF('設定'!$D$9="",0,'設定'!$D$9),16)&lt;8,"P",IF(MOD(INT((Y$13-'設定'!$B$4)/7)+IF('設定'!$D$9="",0,'設定'!$D$9),16)&lt;12,"N","P"))),""))))))</f>
        <v/>
      </c>
      <c r="Z15" s="24">
        <f>IF(Z$13="","",IF('設定'!$B$9="","",IF(COUNTIFS(LeaveName,'設定'!$B$9,LeaveType,"AL",LeaveDate,"&gt;="&amp;Z$13,LeaveDate,"&lt;"&amp;Z$13+7)&gt;0,"AL",IF(COUNTIFS(LeaveName,'設定'!$B$9,LeaveType,"SL",LeaveDate,"&gt;="&amp;Z$13,LeaveDate,"&lt;"&amp;Z$13+7)&gt;0,"SL",IF('設定'!$C$9="S","S",IF('設定'!$C$9="R",IF(MOD(INT((Z$13-'設定'!$B$4)/7)+IF('設定'!$D$9="",0,'設定'!$D$9),16)&lt;4,"A",IF(MOD(INT((Z$13-'設定'!$B$4)/7)+IF('設定'!$D$9="",0,'設定'!$D$9),16)&lt;8,"P",IF(MOD(INT((Z$13-'設定'!$B$4)/7)+IF('設定'!$D$9="",0,'設定'!$D$9),16)&lt;12,"N","P"))),""))))))</f>
        <v/>
      </c>
      <c r="AA15" s="24">
        <f>IF(AA$13="","",IF('設定'!$B$9="","",IF(COUNTIFS(LeaveName,'設定'!$B$9,LeaveType,"AL",LeaveDate,"&gt;="&amp;AA$13,LeaveDate,"&lt;"&amp;AA$13+7)&gt;0,"AL",IF(COUNTIFS(LeaveName,'設定'!$B$9,LeaveType,"SL",LeaveDate,"&gt;="&amp;AA$13,LeaveDate,"&lt;"&amp;AA$13+7)&gt;0,"SL",IF('設定'!$C$9="S","S",IF('設定'!$C$9="R",IF(MOD(INT((AA$13-'設定'!$B$4)/7)+IF('設定'!$D$9="",0,'設定'!$D$9),16)&lt;4,"A",IF(MOD(INT((AA$13-'設定'!$B$4)/7)+IF('設定'!$D$9="",0,'設定'!$D$9),16)&lt;8,"P",IF(MOD(INT((AA$13-'設定'!$B$4)/7)+IF('設定'!$D$9="",0,'設定'!$D$9),16)&lt;12,"N","P"))),""))))))</f>
        <v/>
      </c>
      <c r="AB15" s="24">
        <f>IF(AB$13="","",IF('設定'!$B$9="","",IF(COUNTIFS(LeaveName,'設定'!$B$9,LeaveType,"AL",LeaveDate,"&gt;="&amp;AB$13,LeaveDate,"&lt;"&amp;AB$13+7)&gt;0,"AL",IF(COUNTIFS(LeaveName,'設定'!$B$9,LeaveType,"SL",LeaveDate,"&gt;="&amp;AB$13,LeaveDate,"&lt;"&amp;AB$13+7)&gt;0,"SL",IF('設定'!$C$9="S","S",IF('設定'!$C$9="R",IF(MOD(INT((AB$13-'設定'!$B$4)/7)+IF('設定'!$D$9="",0,'設定'!$D$9),16)&lt;4,"A",IF(MOD(INT((AB$13-'設定'!$B$4)/7)+IF('設定'!$D$9="",0,'設定'!$D$9),16)&lt;8,"P",IF(MOD(INT((AB$13-'設定'!$B$4)/7)+IF('設定'!$D$9="",0,'設定'!$D$9),16)&lt;12,"N","P"))),""))))))</f>
        <v/>
      </c>
      <c r="AC15" s="24">
        <f>IF(AC$13="","",IF('設定'!$B$9="","",IF(COUNTIFS(LeaveName,'設定'!$B$9,LeaveType,"AL",LeaveDate,"&gt;="&amp;AC$13,LeaveDate,"&lt;"&amp;AC$13+7)&gt;0,"AL",IF(COUNTIFS(LeaveName,'設定'!$B$9,LeaveType,"SL",LeaveDate,"&gt;="&amp;AC$13,LeaveDate,"&lt;"&amp;AC$13+7)&gt;0,"SL",IF('設定'!$C$9="S","S",IF('設定'!$C$9="R",IF(MOD(INT((AC$13-'設定'!$B$4)/7)+IF('設定'!$D$9="",0,'設定'!$D$9),16)&lt;4,"A",IF(MOD(INT((AC$13-'設定'!$B$4)/7)+IF('設定'!$D$9="",0,'設定'!$D$9),16)&lt;8,"P",IF(MOD(INT((AC$13-'設定'!$B$4)/7)+IF('設定'!$D$9="",0,'設定'!$D$9),16)&lt;12,"N","P"))),""))))))</f>
        <v/>
      </c>
      <c r="AD15" s="24">
        <f>IF(AD$13="","",IF('設定'!$B$9="","",IF(COUNTIFS(LeaveName,'設定'!$B$9,LeaveType,"AL",LeaveDate,"&gt;="&amp;AD$13,LeaveDate,"&lt;"&amp;AD$13+7)&gt;0,"AL",IF(COUNTIFS(LeaveName,'設定'!$B$9,LeaveType,"SL",LeaveDate,"&gt;="&amp;AD$13,LeaveDate,"&lt;"&amp;AD$13+7)&gt;0,"SL",IF('設定'!$C$9="S","S",IF('設定'!$C$9="R",IF(MOD(INT((AD$13-'設定'!$B$4)/7)+IF('設定'!$D$9="",0,'設定'!$D$9),16)&lt;4,"A",IF(MOD(INT((AD$13-'設定'!$B$4)/7)+IF('設定'!$D$9="",0,'設定'!$D$9),16)&lt;8,"P",IF(MOD(INT((AD$13-'設定'!$B$4)/7)+IF('設定'!$D$9="",0,'設定'!$D$9),16)&lt;12,"N","P"))),""))))))</f>
        <v/>
      </c>
      <c r="AE15" s="24">
        <f>IF(AE$13="","",IF('設定'!$B$9="","",IF(COUNTIFS(LeaveName,'設定'!$B$9,LeaveType,"AL",LeaveDate,"&gt;="&amp;AE$13,LeaveDate,"&lt;"&amp;AE$13+7)&gt;0,"AL",IF(COUNTIFS(LeaveName,'設定'!$B$9,LeaveType,"SL",LeaveDate,"&gt;="&amp;AE$13,LeaveDate,"&lt;"&amp;AE$13+7)&gt;0,"SL",IF('設定'!$C$9="S","S",IF('設定'!$C$9="R",IF(MOD(INT((AE$13-'設定'!$B$4)/7)+IF('設定'!$D$9="",0,'設定'!$D$9),16)&lt;4,"A",IF(MOD(INT((AE$13-'設定'!$B$4)/7)+IF('設定'!$D$9="",0,'設定'!$D$9),16)&lt;8,"P",IF(MOD(INT((AE$13-'設定'!$B$4)/7)+IF('設定'!$D$9="",0,'設定'!$D$9),16)&lt;12,"N","P"))),""))))))</f>
        <v/>
      </c>
      <c r="AF15" s="24">
        <f>IF(AF$13="","",IF('設定'!$B$9="","",IF(COUNTIFS(LeaveName,'設定'!$B$9,LeaveType,"AL",LeaveDate,"&gt;="&amp;AF$13,LeaveDate,"&lt;"&amp;AF$13+7)&gt;0,"AL",IF(COUNTIFS(LeaveName,'設定'!$B$9,LeaveType,"SL",LeaveDate,"&gt;="&amp;AF$13,LeaveDate,"&lt;"&amp;AF$13+7)&gt;0,"SL",IF('設定'!$C$9="S","S",IF('設定'!$C$9="R",IF(MOD(INT((AF$13-'設定'!$B$4)/7)+IF('設定'!$D$9="",0,'設定'!$D$9),16)&lt;4,"A",IF(MOD(INT((AF$13-'設定'!$B$4)/7)+IF('設定'!$D$9="",0,'設定'!$D$9),16)&lt;8,"P",IF(MOD(INT((AF$13-'設定'!$B$4)/7)+IF('設定'!$D$9="",0,'設定'!$D$9),16)&lt;12,"N","P"))),""))))))</f>
        <v/>
      </c>
      <c r="AG15" s="24">
        <f>IF(AG$13="","",IF('設定'!$B$9="","",IF(COUNTIFS(LeaveName,'設定'!$B$9,LeaveType,"AL",LeaveDate,"&gt;="&amp;AG$13,LeaveDate,"&lt;"&amp;AG$13+7)&gt;0,"AL",IF(COUNTIFS(LeaveName,'設定'!$B$9,LeaveType,"SL",LeaveDate,"&gt;="&amp;AG$13,LeaveDate,"&lt;"&amp;AG$13+7)&gt;0,"SL",IF('設定'!$C$9="S","S",IF('設定'!$C$9="R",IF(MOD(INT((AG$13-'設定'!$B$4)/7)+IF('設定'!$D$9="",0,'設定'!$D$9),16)&lt;4,"A",IF(MOD(INT((AG$13-'設定'!$B$4)/7)+IF('設定'!$D$9="",0,'設定'!$D$9),16)&lt;8,"P",IF(MOD(INT((AG$13-'設定'!$B$4)/7)+IF('設定'!$D$9="",0,'設定'!$D$9),16)&lt;12,"N","P"))),""))))))</f>
        <v/>
      </c>
      <c r="AH15" s="24">
        <f>IF(AH$13="","",IF('設定'!$B$9="","",IF(COUNTIFS(LeaveName,'設定'!$B$9,LeaveType,"AL",LeaveDate,"&gt;="&amp;AH$13,LeaveDate,"&lt;"&amp;AH$13+7)&gt;0,"AL",IF(COUNTIFS(LeaveName,'設定'!$B$9,LeaveType,"SL",LeaveDate,"&gt;="&amp;AH$13,LeaveDate,"&lt;"&amp;AH$13+7)&gt;0,"SL",IF('設定'!$C$9="S","S",IF('設定'!$C$9="R",IF(MOD(INT((AH$13-'設定'!$B$4)/7)+IF('設定'!$D$9="",0,'設定'!$D$9),16)&lt;4,"A",IF(MOD(INT((AH$13-'設定'!$B$4)/7)+IF('設定'!$D$9="",0,'設定'!$D$9),16)&lt;8,"P",IF(MOD(INT((AH$13-'設定'!$B$4)/7)+IF('設定'!$D$9="",0,'設定'!$D$9),16)&lt;12,"N","P"))),""))))))</f>
        <v/>
      </c>
      <c r="AI15" s="24">
        <f>IF(AI$13="","",IF('設定'!$B$9="","",IF(COUNTIFS(LeaveName,'設定'!$B$9,LeaveType,"AL",LeaveDate,"&gt;="&amp;AI$13,LeaveDate,"&lt;"&amp;AI$13+7)&gt;0,"AL",IF(COUNTIFS(LeaveName,'設定'!$B$9,LeaveType,"SL",LeaveDate,"&gt;="&amp;AI$13,LeaveDate,"&lt;"&amp;AI$13+7)&gt;0,"SL",IF('設定'!$C$9="S","S",IF('設定'!$C$9="R",IF(MOD(INT((AI$13-'設定'!$B$4)/7)+IF('設定'!$D$9="",0,'設定'!$D$9),16)&lt;4,"A",IF(MOD(INT((AI$13-'設定'!$B$4)/7)+IF('設定'!$D$9="",0,'設定'!$D$9),16)&lt;8,"P",IF(MOD(INT((AI$13-'設定'!$B$4)/7)+IF('設定'!$D$9="",0,'設定'!$D$9),16)&lt;12,"N","P"))),""))))))</f>
        <v/>
      </c>
      <c r="AJ15" s="24">
        <f>IF(AJ$13="","",IF('設定'!$B$9="","",IF(COUNTIFS(LeaveName,'設定'!$B$9,LeaveType,"AL",LeaveDate,"&gt;="&amp;AJ$13,LeaveDate,"&lt;"&amp;AJ$13+7)&gt;0,"AL",IF(COUNTIFS(LeaveName,'設定'!$B$9,LeaveType,"SL",LeaveDate,"&gt;="&amp;AJ$13,LeaveDate,"&lt;"&amp;AJ$13+7)&gt;0,"SL",IF('設定'!$C$9="S","S",IF('設定'!$C$9="R",IF(MOD(INT((AJ$13-'設定'!$B$4)/7)+IF('設定'!$D$9="",0,'設定'!$D$9),16)&lt;4,"A",IF(MOD(INT((AJ$13-'設定'!$B$4)/7)+IF('設定'!$D$9="",0,'設定'!$D$9),16)&lt;8,"P",IF(MOD(INT((AJ$13-'設定'!$B$4)/7)+IF('設定'!$D$9="",0,'設定'!$D$9),16)&lt;12,"N","P"))),""))))))</f>
        <v/>
      </c>
      <c r="AK15" s="24">
        <f>IF(AK$13="","",IF('設定'!$B$9="","",IF(COUNTIFS(LeaveName,'設定'!$B$9,LeaveType,"AL",LeaveDate,"&gt;="&amp;AK$13,LeaveDate,"&lt;"&amp;AK$13+7)&gt;0,"AL",IF(COUNTIFS(LeaveName,'設定'!$B$9,LeaveType,"SL",LeaveDate,"&gt;="&amp;AK$13,LeaveDate,"&lt;"&amp;AK$13+7)&gt;0,"SL",IF('設定'!$C$9="S","S",IF('設定'!$C$9="R",IF(MOD(INT((AK$13-'設定'!$B$4)/7)+IF('設定'!$D$9="",0,'設定'!$D$9),16)&lt;4,"A",IF(MOD(INT((AK$13-'設定'!$B$4)/7)+IF('設定'!$D$9="",0,'設定'!$D$9),16)&lt;8,"P",IF(MOD(INT((AK$13-'設定'!$B$4)/7)+IF('設定'!$D$9="",0,'設定'!$D$9),16)&lt;12,"N","P"))),""))))))</f>
        <v/>
      </c>
      <c r="AL15" s="24">
        <f>IF(AL$13="","",IF('設定'!$B$9="","",IF(COUNTIFS(LeaveName,'設定'!$B$9,LeaveType,"AL",LeaveDate,"&gt;="&amp;AL$13,LeaveDate,"&lt;"&amp;AL$13+7)&gt;0,"AL",IF(COUNTIFS(LeaveName,'設定'!$B$9,LeaveType,"SL",LeaveDate,"&gt;="&amp;AL$13,LeaveDate,"&lt;"&amp;AL$13+7)&gt;0,"SL",IF('設定'!$C$9="S","S",IF('設定'!$C$9="R",IF(MOD(INT((AL$13-'設定'!$B$4)/7)+IF('設定'!$D$9="",0,'設定'!$D$9),16)&lt;4,"A",IF(MOD(INT((AL$13-'設定'!$B$4)/7)+IF('設定'!$D$9="",0,'設定'!$D$9),16)&lt;8,"P",IF(MOD(INT((AL$13-'設定'!$B$4)/7)+IF('設定'!$D$9="",0,'設定'!$D$9),16)&lt;12,"N","P"))),""))))))</f>
        <v/>
      </c>
      <c r="AM15" s="24">
        <f>IF(AM$13="","",IF('設定'!$B$9="","",IF(COUNTIFS(LeaveName,'設定'!$B$9,LeaveType,"AL",LeaveDate,"&gt;="&amp;AM$13,LeaveDate,"&lt;"&amp;AM$13+7)&gt;0,"AL",IF(COUNTIFS(LeaveName,'設定'!$B$9,LeaveType,"SL",LeaveDate,"&gt;="&amp;AM$13,LeaveDate,"&lt;"&amp;AM$13+7)&gt;0,"SL",IF('設定'!$C$9="S","S",IF('設定'!$C$9="R",IF(MOD(INT((AM$13-'設定'!$B$4)/7)+IF('設定'!$D$9="",0,'設定'!$D$9),16)&lt;4,"A",IF(MOD(INT((AM$13-'設定'!$B$4)/7)+IF('設定'!$D$9="",0,'設定'!$D$9),16)&lt;8,"P",IF(MOD(INT((AM$13-'設定'!$B$4)/7)+IF('設定'!$D$9="",0,'設定'!$D$9),16)&lt;12,"N","P"))),""))))))</f>
        <v/>
      </c>
      <c r="AN15" s="24">
        <f>IF(AN$13="","",IF('設定'!$B$9="","",IF(COUNTIFS(LeaveName,'設定'!$B$9,LeaveType,"AL",LeaveDate,"&gt;="&amp;AN$13,LeaveDate,"&lt;"&amp;AN$13+7)&gt;0,"AL",IF(COUNTIFS(LeaveName,'設定'!$B$9,LeaveType,"SL",LeaveDate,"&gt;="&amp;AN$13,LeaveDate,"&lt;"&amp;AN$13+7)&gt;0,"SL",IF('設定'!$C$9="S","S",IF('設定'!$C$9="R",IF(MOD(INT((AN$13-'設定'!$B$4)/7)+IF('設定'!$D$9="",0,'設定'!$D$9),16)&lt;4,"A",IF(MOD(INT((AN$13-'設定'!$B$4)/7)+IF('設定'!$D$9="",0,'設定'!$D$9),16)&lt;8,"P",IF(MOD(INT((AN$13-'設定'!$B$4)/7)+IF('設定'!$D$9="",0,'設定'!$D$9),16)&lt;12,"N","P"))),""))))))</f>
        <v/>
      </c>
      <c r="AO15" s="24">
        <f>IF(AO$13="","",IF('設定'!$B$9="","",IF(COUNTIFS(LeaveName,'設定'!$B$9,LeaveType,"AL",LeaveDate,"&gt;="&amp;AO$13,LeaveDate,"&lt;"&amp;AO$13+7)&gt;0,"AL",IF(COUNTIFS(LeaveName,'設定'!$B$9,LeaveType,"SL",LeaveDate,"&gt;="&amp;AO$13,LeaveDate,"&lt;"&amp;AO$13+7)&gt;0,"SL",IF('設定'!$C$9="S","S",IF('設定'!$C$9="R",IF(MOD(INT((AO$13-'設定'!$B$4)/7)+IF('設定'!$D$9="",0,'設定'!$D$9),16)&lt;4,"A",IF(MOD(INT((AO$13-'設定'!$B$4)/7)+IF('設定'!$D$9="",0,'設定'!$D$9),16)&lt;8,"P",IF(MOD(INT((AO$13-'設定'!$B$4)/7)+IF('設定'!$D$9="",0,'設定'!$D$9),16)&lt;12,"N","P"))),""))))))</f>
        <v/>
      </c>
      <c r="AP15" s="24">
        <f>IF(AP$13="","",IF('設定'!$B$9="","",IF(COUNTIFS(LeaveName,'設定'!$B$9,LeaveType,"AL",LeaveDate,"&gt;="&amp;AP$13,LeaveDate,"&lt;"&amp;AP$13+7)&gt;0,"AL",IF(COUNTIFS(LeaveName,'設定'!$B$9,LeaveType,"SL",LeaveDate,"&gt;="&amp;AP$13,LeaveDate,"&lt;"&amp;AP$13+7)&gt;0,"SL",IF('設定'!$C$9="S","S",IF('設定'!$C$9="R",IF(MOD(INT((AP$13-'設定'!$B$4)/7)+IF('設定'!$D$9="",0,'設定'!$D$9),16)&lt;4,"A",IF(MOD(INT((AP$13-'設定'!$B$4)/7)+IF('設定'!$D$9="",0,'設定'!$D$9),16)&lt;8,"P",IF(MOD(INT((AP$13-'設定'!$B$4)/7)+IF('設定'!$D$9="",0,'設定'!$D$9),16)&lt;12,"N","P"))),""))))))</f>
        <v/>
      </c>
      <c r="AQ15" s="24">
        <f>IF(AQ$13="","",IF('設定'!$B$9="","",IF(COUNTIFS(LeaveName,'設定'!$B$9,LeaveType,"AL",LeaveDate,"&gt;="&amp;AQ$13,LeaveDate,"&lt;"&amp;AQ$13+7)&gt;0,"AL",IF(COUNTIFS(LeaveName,'設定'!$B$9,LeaveType,"SL",LeaveDate,"&gt;="&amp;AQ$13,LeaveDate,"&lt;"&amp;AQ$13+7)&gt;0,"SL",IF('設定'!$C$9="S","S",IF('設定'!$C$9="R",IF(MOD(INT((AQ$13-'設定'!$B$4)/7)+IF('設定'!$D$9="",0,'設定'!$D$9),16)&lt;4,"A",IF(MOD(INT((AQ$13-'設定'!$B$4)/7)+IF('設定'!$D$9="",0,'設定'!$D$9),16)&lt;8,"P",IF(MOD(INT((AQ$13-'設定'!$B$4)/7)+IF('設定'!$D$9="",0,'設定'!$D$9),16)&lt;12,"N","P"))),""))))))</f>
        <v/>
      </c>
      <c r="AR15" s="24">
        <f>IF(AR$13="","",IF('設定'!$B$9="","",IF(COUNTIFS(LeaveName,'設定'!$B$9,LeaveType,"AL",LeaveDate,"&gt;="&amp;AR$13,LeaveDate,"&lt;"&amp;AR$13+7)&gt;0,"AL",IF(COUNTIFS(LeaveName,'設定'!$B$9,LeaveType,"SL",LeaveDate,"&gt;="&amp;AR$13,LeaveDate,"&lt;"&amp;AR$13+7)&gt;0,"SL",IF('設定'!$C$9="S","S",IF('設定'!$C$9="R",IF(MOD(INT((AR$13-'設定'!$B$4)/7)+IF('設定'!$D$9="",0,'設定'!$D$9),16)&lt;4,"A",IF(MOD(INT((AR$13-'設定'!$B$4)/7)+IF('設定'!$D$9="",0,'設定'!$D$9),16)&lt;8,"P",IF(MOD(INT((AR$13-'設定'!$B$4)/7)+IF('設定'!$D$9="",0,'設定'!$D$9),16)&lt;12,"N","P"))),""))))))</f>
        <v/>
      </c>
      <c r="AS15" s="24">
        <f>IF(AS$13="","",IF('設定'!$B$9="","",IF(COUNTIFS(LeaveName,'設定'!$B$9,LeaveType,"AL",LeaveDate,"&gt;="&amp;AS$13,LeaveDate,"&lt;"&amp;AS$13+7)&gt;0,"AL",IF(COUNTIFS(LeaveName,'設定'!$B$9,LeaveType,"SL",LeaveDate,"&gt;="&amp;AS$13,LeaveDate,"&lt;"&amp;AS$13+7)&gt;0,"SL",IF('設定'!$C$9="S","S",IF('設定'!$C$9="R",IF(MOD(INT((AS$13-'設定'!$B$4)/7)+IF('設定'!$D$9="",0,'設定'!$D$9),16)&lt;4,"A",IF(MOD(INT((AS$13-'設定'!$B$4)/7)+IF('設定'!$D$9="",0,'設定'!$D$9),16)&lt;8,"P",IF(MOD(INT((AS$13-'設定'!$B$4)/7)+IF('設定'!$D$9="",0,'設定'!$D$9),16)&lt;12,"N","P"))),""))))))</f>
        <v/>
      </c>
      <c r="AT15" s="24">
        <f>IF(AT$13="","",IF('設定'!$B$9="","",IF(COUNTIFS(LeaveName,'設定'!$B$9,LeaveType,"AL",LeaveDate,"&gt;="&amp;AT$13,LeaveDate,"&lt;"&amp;AT$13+7)&gt;0,"AL",IF(COUNTIFS(LeaveName,'設定'!$B$9,LeaveType,"SL",LeaveDate,"&gt;="&amp;AT$13,LeaveDate,"&lt;"&amp;AT$13+7)&gt;0,"SL",IF('設定'!$C$9="S","S",IF('設定'!$C$9="R",IF(MOD(INT((AT$13-'設定'!$B$4)/7)+IF('設定'!$D$9="",0,'設定'!$D$9),16)&lt;4,"A",IF(MOD(INT((AT$13-'設定'!$B$4)/7)+IF('設定'!$D$9="",0,'設定'!$D$9),16)&lt;8,"P",IF(MOD(INT((AT$13-'設定'!$B$4)/7)+IF('設定'!$D$9="",0,'設定'!$D$9),16)&lt;12,"N","P"))),""))))))</f>
        <v/>
      </c>
      <c r="AU15" s="24">
        <f>IF(AU$13="","",IF('設定'!$B$9="","",IF(COUNTIFS(LeaveName,'設定'!$B$9,LeaveType,"AL",LeaveDate,"&gt;="&amp;AU$13,LeaveDate,"&lt;"&amp;AU$13+7)&gt;0,"AL",IF(COUNTIFS(LeaveName,'設定'!$B$9,LeaveType,"SL",LeaveDate,"&gt;="&amp;AU$13,LeaveDate,"&lt;"&amp;AU$13+7)&gt;0,"SL",IF('設定'!$C$9="S","S",IF('設定'!$C$9="R",IF(MOD(INT((AU$13-'設定'!$B$4)/7)+IF('設定'!$D$9="",0,'設定'!$D$9),16)&lt;4,"A",IF(MOD(INT((AU$13-'設定'!$B$4)/7)+IF('設定'!$D$9="",0,'設定'!$D$9),16)&lt;8,"P",IF(MOD(INT((AU$13-'設定'!$B$4)/7)+IF('設定'!$D$9="",0,'設定'!$D$9),16)&lt;12,"N","P"))),""))))))</f>
        <v/>
      </c>
      <c r="AV15" s="24">
        <f>IF(AV$13="","",IF('設定'!$B$9="","",IF(COUNTIFS(LeaveName,'設定'!$B$9,LeaveType,"AL",LeaveDate,"&gt;="&amp;AV$13,LeaveDate,"&lt;"&amp;AV$13+7)&gt;0,"AL",IF(COUNTIFS(LeaveName,'設定'!$B$9,LeaveType,"SL",LeaveDate,"&gt;="&amp;AV$13,LeaveDate,"&lt;"&amp;AV$13+7)&gt;0,"SL",IF('設定'!$C$9="S","S",IF('設定'!$C$9="R",IF(MOD(INT((AV$13-'設定'!$B$4)/7)+IF('設定'!$D$9="",0,'設定'!$D$9),16)&lt;4,"A",IF(MOD(INT((AV$13-'設定'!$B$4)/7)+IF('設定'!$D$9="",0,'設定'!$D$9),16)&lt;8,"P",IF(MOD(INT((AV$13-'設定'!$B$4)/7)+IF('設定'!$D$9="",0,'設定'!$D$9),16)&lt;12,"N","P"))),""))))))</f>
        <v/>
      </c>
      <c r="AW15" s="24">
        <f>IF(AW$13="","",IF('設定'!$B$9="","",IF(COUNTIFS(LeaveName,'設定'!$B$9,LeaveType,"AL",LeaveDate,"&gt;="&amp;AW$13,LeaveDate,"&lt;"&amp;AW$13+7)&gt;0,"AL",IF(COUNTIFS(LeaveName,'設定'!$B$9,LeaveType,"SL",LeaveDate,"&gt;="&amp;AW$13,LeaveDate,"&lt;"&amp;AW$13+7)&gt;0,"SL",IF('設定'!$C$9="S","S",IF('設定'!$C$9="R",IF(MOD(INT((AW$13-'設定'!$B$4)/7)+IF('設定'!$D$9="",0,'設定'!$D$9),16)&lt;4,"A",IF(MOD(INT((AW$13-'設定'!$B$4)/7)+IF('設定'!$D$9="",0,'設定'!$D$9),16)&lt;8,"P",IF(MOD(INT((AW$13-'設定'!$B$4)/7)+IF('設定'!$D$9="",0,'設定'!$D$9),16)&lt;12,"N","P"))),""))))))</f>
        <v/>
      </c>
      <c r="AX15" s="24">
        <f>IF(AX$13="","",IF('設定'!$B$9="","",IF(COUNTIFS(LeaveName,'設定'!$B$9,LeaveType,"AL",LeaveDate,"&gt;="&amp;AX$13,LeaveDate,"&lt;"&amp;AX$13+7)&gt;0,"AL",IF(COUNTIFS(LeaveName,'設定'!$B$9,LeaveType,"SL",LeaveDate,"&gt;="&amp;AX$13,LeaveDate,"&lt;"&amp;AX$13+7)&gt;0,"SL",IF('設定'!$C$9="S","S",IF('設定'!$C$9="R",IF(MOD(INT((AX$13-'設定'!$B$4)/7)+IF('設定'!$D$9="",0,'設定'!$D$9),16)&lt;4,"A",IF(MOD(INT((AX$13-'設定'!$B$4)/7)+IF('設定'!$D$9="",0,'設定'!$D$9),16)&lt;8,"P",IF(MOD(INT((AX$13-'設定'!$B$4)/7)+IF('設定'!$D$9="",0,'設定'!$D$9),16)&lt;12,"N","P"))),""))))))</f>
        <v/>
      </c>
      <c r="AY15" s="24">
        <f>IF(AY$13="","",IF('設定'!$B$9="","",IF(COUNTIFS(LeaveName,'設定'!$B$9,LeaveType,"AL",LeaveDate,"&gt;="&amp;AY$13,LeaveDate,"&lt;"&amp;AY$13+7)&gt;0,"AL",IF(COUNTIFS(LeaveName,'設定'!$B$9,LeaveType,"SL",LeaveDate,"&gt;="&amp;AY$13,LeaveDate,"&lt;"&amp;AY$13+7)&gt;0,"SL",IF('設定'!$C$9="S","S",IF('設定'!$C$9="R",IF(MOD(INT((AY$13-'設定'!$B$4)/7)+IF('設定'!$D$9="",0,'設定'!$D$9),16)&lt;4,"A",IF(MOD(INT((AY$13-'設定'!$B$4)/7)+IF('設定'!$D$9="",0,'設定'!$D$9),16)&lt;8,"P",IF(MOD(INT((AY$13-'設定'!$B$4)/7)+IF('設定'!$D$9="",0,'設定'!$D$9),16)&lt;12,"N","P"))),""))))))</f>
        <v/>
      </c>
      <c r="AZ15" s="24">
        <f>IF(AZ$13="","",IF('設定'!$B$9="","",IF(COUNTIFS(LeaveName,'設定'!$B$9,LeaveType,"AL",LeaveDate,"&gt;="&amp;AZ$13,LeaveDate,"&lt;"&amp;AZ$13+7)&gt;0,"AL",IF(COUNTIFS(LeaveName,'設定'!$B$9,LeaveType,"SL",LeaveDate,"&gt;="&amp;AZ$13,LeaveDate,"&lt;"&amp;AZ$13+7)&gt;0,"SL",IF('設定'!$C$9="S","S",IF('設定'!$C$9="R",IF(MOD(INT((AZ$13-'設定'!$B$4)/7)+IF('設定'!$D$9="",0,'設定'!$D$9),16)&lt;4,"A",IF(MOD(INT((AZ$13-'設定'!$B$4)/7)+IF('設定'!$D$9="",0,'設定'!$D$9),16)&lt;8,"P",IF(MOD(INT((AZ$13-'設定'!$B$4)/7)+IF('設定'!$D$9="",0,'設定'!$D$9),16)&lt;12,"N","P"))),""))))))</f>
        <v/>
      </c>
      <c r="BA15" s="24">
        <f>IF(BA$13="","",IF('設定'!$B$9="","",IF(COUNTIFS(LeaveName,'設定'!$B$9,LeaveType,"AL",LeaveDate,"&gt;="&amp;BA$13,LeaveDate,"&lt;"&amp;BA$13+7)&gt;0,"AL",IF(COUNTIFS(LeaveName,'設定'!$B$9,LeaveType,"SL",LeaveDate,"&gt;="&amp;BA$13,LeaveDate,"&lt;"&amp;BA$13+7)&gt;0,"SL",IF('設定'!$C$9="S","S",IF('設定'!$C$9="R",IF(MOD(INT((BA$13-'設定'!$B$4)/7)+IF('設定'!$D$9="",0,'設定'!$D$9),16)&lt;4,"A",IF(MOD(INT((BA$13-'設定'!$B$4)/7)+IF('設定'!$D$9="",0,'設定'!$D$9),16)&lt;8,"P",IF(MOD(INT((BA$13-'設定'!$B$4)/7)+IF('設定'!$D$9="",0,'設定'!$D$9),16)&lt;12,"N","P"))),""))))))</f>
        <v/>
      </c>
      <c r="BB15" s="24">
        <f>IF(BB$13="","",IF('設定'!$B$9="","",IF(COUNTIFS(LeaveName,'設定'!$B$9,LeaveType,"AL",LeaveDate,"&gt;="&amp;BB$13,LeaveDate,"&lt;"&amp;BB$13+7)&gt;0,"AL",IF(COUNTIFS(LeaveName,'設定'!$B$9,LeaveType,"SL",LeaveDate,"&gt;="&amp;BB$13,LeaveDate,"&lt;"&amp;BB$13+7)&gt;0,"SL",IF('設定'!$C$9="S","S",IF('設定'!$C$9="R",IF(MOD(INT((BB$13-'設定'!$B$4)/7)+IF('設定'!$D$9="",0,'設定'!$D$9),16)&lt;4,"A",IF(MOD(INT((BB$13-'設定'!$B$4)/7)+IF('設定'!$D$9="",0,'設定'!$D$9),16)&lt;8,"P",IF(MOD(INT((BB$13-'設定'!$B$4)/7)+IF('設定'!$D$9="",0,'設定'!$D$9),16)&lt;12,"N","P"))),""))))))</f>
        <v/>
      </c>
      <c r="BC15" s="24">
        <f>IF(BC$13="","",IF('設定'!$B$9="","",IF(COUNTIFS(LeaveName,'設定'!$B$9,LeaveType,"AL",LeaveDate,"&gt;="&amp;BC$13,LeaveDate,"&lt;"&amp;BC$13+7)&gt;0,"AL",IF(COUNTIFS(LeaveName,'設定'!$B$9,LeaveType,"SL",LeaveDate,"&gt;="&amp;BC$13,LeaveDate,"&lt;"&amp;BC$13+7)&gt;0,"SL",IF('設定'!$C$9="S","S",IF('設定'!$C$9="R",IF(MOD(INT((BC$13-'設定'!$B$4)/7)+IF('設定'!$D$9="",0,'設定'!$D$9),16)&lt;4,"A",IF(MOD(INT((BC$13-'設定'!$B$4)/7)+IF('設定'!$D$9="",0,'設定'!$D$9),16)&lt;8,"P",IF(MOD(INT((BC$13-'設定'!$B$4)/7)+IF('設定'!$D$9="",0,'設定'!$D$9),16)&lt;12,"N","P"))),""))))))</f>
        <v/>
      </c>
      <c r="BD15" s="24">
        <f>IF(BD$13="","",IF('設定'!$B$9="","",IF(COUNTIFS(LeaveName,'設定'!$B$9,LeaveType,"AL",LeaveDate,"&gt;="&amp;BD$13,LeaveDate,"&lt;"&amp;BD$13+7)&gt;0,"AL",IF(COUNTIFS(LeaveName,'設定'!$B$9,LeaveType,"SL",LeaveDate,"&gt;="&amp;BD$13,LeaveDate,"&lt;"&amp;BD$13+7)&gt;0,"SL",IF('設定'!$C$9="S","S",IF('設定'!$C$9="R",IF(MOD(INT((BD$13-'設定'!$B$4)/7)+IF('設定'!$D$9="",0,'設定'!$D$9),16)&lt;4,"A",IF(MOD(INT((BD$13-'設定'!$B$4)/7)+IF('設定'!$D$9="",0,'設定'!$D$9),16)&lt;8,"P",IF(MOD(INT((BD$13-'設定'!$B$4)/7)+IF('設定'!$D$9="",0,'設定'!$D$9),16)&lt;12,"N","P"))),""))))))</f>
        <v/>
      </c>
      <c r="BE15" s="24">
        <f>IF(BE$13="","",IF('設定'!$B$9="","",IF(COUNTIFS(LeaveName,'設定'!$B$9,LeaveType,"AL",LeaveDate,"&gt;="&amp;BE$13,LeaveDate,"&lt;"&amp;BE$13+7)&gt;0,"AL",IF(COUNTIFS(LeaveName,'設定'!$B$9,LeaveType,"SL",LeaveDate,"&gt;="&amp;BE$13,LeaveDate,"&lt;"&amp;BE$13+7)&gt;0,"SL",IF('設定'!$C$9="S","S",IF('設定'!$C$9="R",IF(MOD(INT((BE$13-'設定'!$B$4)/7)+IF('設定'!$D$9="",0,'設定'!$D$9),16)&lt;4,"A",IF(MOD(INT((BE$13-'設定'!$B$4)/7)+IF('設定'!$D$9="",0,'設定'!$D$9),16)&lt;8,"P",IF(MOD(INT((BE$13-'設定'!$B$4)/7)+IF('設定'!$D$9="",0,'設定'!$D$9),16)&lt;12,"N","P"))),""))))))</f>
        <v/>
      </c>
      <c r="BF15" s="24">
        <f>IF(BF$13="","",IF('設定'!$B$9="","",IF(COUNTIFS(LeaveName,'設定'!$B$9,LeaveType,"AL",LeaveDate,"&gt;="&amp;BF$13,LeaveDate,"&lt;"&amp;BF$13+7)&gt;0,"AL",IF(COUNTIFS(LeaveName,'設定'!$B$9,LeaveType,"SL",LeaveDate,"&gt;="&amp;BF$13,LeaveDate,"&lt;"&amp;BF$13+7)&gt;0,"SL",IF('設定'!$C$9="S","S",IF('設定'!$C$9="R",IF(MOD(INT((BF$13-'設定'!$B$4)/7)+IF('設定'!$D$9="",0,'設定'!$D$9),16)&lt;4,"A",IF(MOD(INT((BF$13-'設定'!$B$4)/7)+IF('設定'!$D$9="",0,'設定'!$D$9),16)&lt;8,"P",IF(MOD(INT((BF$13-'設定'!$B$4)/7)+IF('設定'!$D$9="",0,'設定'!$D$9),16)&lt;12,"N","P"))),""))))))</f>
        <v/>
      </c>
      <c r="BG15" s="24">
        <f>IF(BG$13="","",IF('設定'!$B$9="","",IF(COUNTIFS(LeaveName,'設定'!$B$9,LeaveType,"AL",LeaveDate,"&gt;="&amp;BG$13,LeaveDate,"&lt;"&amp;BG$13+7)&gt;0,"AL",IF(COUNTIFS(LeaveName,'設定'!$B$9,LeaveType,"SL",LeaveDate,"&gt;="&amp;BG$13,LeaveDate,"&lt;"&amp;BG$13+7)&gt;0,"SL",IF('設定'!$C$9="S","S",IF('設定'!$C$9="R",IF(MOD(INT((BG$13-'設定'!$B$4)/7)+IF('設定'!$D$9="",0,'設定'!$D$9),16)&lt;4,"A",IF(MOD(INT((BG$13-'設定'!$B$4)/7)+IF('設定'!$D$9="",0,'設定'!$D$9),16)&lt;8,"P",IF(MOD(INT((BG$13-'設定'!$B$4)/7)+IF('設定'!$D$9="",0,'設定'!$D$9),16)&lt;12,"N","P"))),""))))))</f>
        <v/>
      </c>
    </row>
    <row r="16" ht="22" customHeight="1">
      <c r="A16" s="20">
        <f>'設定'!B10</f>
        <v/>
      </c>
      <c r="B16" s="23">
        <f>IF(A16="","",COUNTIFS(LeaveName,A16,LeaveType,"AL",LeaveDate,"&gt;="&amp;DATE('設定'!$B$3,1,1),LeaveDate,"&lt;="&amp;DATE('設定'!$B$3,12,31)))</f>
        <v/>
      </c>
      <c r="C16" s="23">
        <f>IF(A16="","",IF('設定'!E10="","",'設定'!E10-B16))</f>
        <v/>
      </c>
      <c r="D16" s="21">
        <f>IF(A16="","",E16+F16)</f>
        <v/>
      </c>
      <c r="E16" s="22" t="n">
        <v>0</v>
      </c>
      <c r="F16" s="23">
        <f>IF(A16="","",CompYear3)</f>
        <v/>
      </c>
      <c r="G16" s="24">
        <f>IF(G$13="","",IF('設定'!$B$10="","",IF(COUNTIFS(LeaveName,'設定'!$B$10,LeaveType,"AL",LeaveDate,"&gt;="&amp;G$13,LeaveDate,"&lt;"&amp;G$13+7)&gt;0,"AL",IF(COUNTIFS(LeaveName,'設定'!$B$10,LeaveType,"SL",LeaveDate,"&gt;="&amp;G$13,LeaveDate,"&lt;"&amp;G$13+7)&gt;0,"SL",IF('設定'!$C$10="S","S",IF('設定'!$C$10="R",IF(MOD(INT((G$13-'設定'!$B$4)/7)+IF('設定'!$D$10="",0,'設定'!$D$10),16)&lt;4,"A",IF(MOD(INT((G$13-'設定'!$B$4)/7)+IF('設定'!$D$10="",0,'設定'!$D$10),16)&lt;8,"P",IF(MOD(INT((G$13-'設定'!$B$4)/7)+IF('設定'!$D$10="",0,'設定'!$D$10),16)&lt;12,"N","P"))),""))))))</f>
        <v/>
      </c>
      <c r="H16" s="24">
        <f>IF(H$13="","",IF('設定'!$B$10="","",IF(COUNTIFS(LeaveName,'設定'!$B$10,LeaveType,"AL",LeaveDate,"&gt;="&amp;H$13,LeaveDate,"&lt;"&amp;H$13+7)&gt;0,"AL",IF(COUNTIFS(LeaveName,'設定'!$B$10,LeaveType,"SL",LeaveDate,"&gt;="&amp;H$13,LeaveDate,"&lt;"&amp;H$13+7)&gt;0,"SL",IF('設定'!$C$10="S","S",IF('設定'!$C$10="R",IF(MOD(INT((H$13-'設定'!$B$4)/7)+IF('設定'!$D$10="",0,'設定'!$D$10),16)&lt;4,"A",IF(MOD(INT((H$13-'設定'!$B$4)/7)+IF('設定'!$D$10="",0,'設定'!$D$10),16)&lt;8,"P",IF(MOD(INT((H$13-'設定'!$B$4)/7)+IF('設定'!$D$10="",0,'設定'!$D$10),16)&lt;12,"N","P"))),""))))))</f>
        <v/>
      </c>
      <c r="I16" s="24">
        <f>IF(I$13="","",IF('設定'!$B$10="","",IF(COUNTIFS(LeaveName,'設定'!$B$10,LeaveType,"AL",LeaveDate,"&gt;="&amp;I$13,LeaveDate,"&lt;"&amp;I$13+7)&gt;0,"AL",IF(COUNTIFS(LeaveName,'設定'!$B$10,LeaveType,"SL",LeaveDate,"&gt;="&amp;I$13,LeaveDate,"&lt;"&amp;I$13+7)&gt;0,"SL",IF('設定'!$C$10="S","S",IF('設定'!$C$10="R",IF(MOD(INT((I$13-'設定'!$B$4)/7)+IF('設定'!$D$10="",0,'設定'!$D$10),16)&lt;4,"A",IF(MOD(INT((I$13-'設定'!$B$4)/7)+IF('設定'!$D$10="",0,'設定'!$D$10),16)&lt;8,"P",IF(MOD(INT((I$13-'設定'!$B$4)/7)+IF('設定'!$D$10="",0,'設定'!$D$10),16)&lt;12,"N","P"))),""))))))</f>
        <v/>
      </c>
      <c r="J16" s="24">
        <f>IF(J$13="","",IF('設定'!$B$10="","",IF(COUNTIFS(LeaveName,'設定'!$B$10,LeaveType,"AL",LeaveDate,"&gt;="&amp;J$13,LeaveDate,"&lt;"&amp;J$13+7)&gt;0,"AL",IF(COUNTIFS(LeaveName,'設定'!$B$10,LeaveType,"SL",LeaveDate,"&gt;="&amp;J$13,LeaveDate,"&lt;"&amp;J$13+7)&gt;0,"SL",IF('設定'!$C$10="S","S",IF('設定'!$C$10="R",IF(MOD(INT((J$13-'設定'!$B$4)/7)+IF('設定'!$D$10="",0,'設定'!$D$10),16)&lt;4,"A",IF(MOD(INT((J$13-'設定'!$B$4)/7)+IF('設定'!$D$10="",0,'設定'!$D$10),16)&lt;8,"P",IF(MOD(INT((J$13-'設定'!$B$4)/7)+IF('設定'!$D$10="",0,'設定'!$D$10),16)&lt;12,"N","P"))),""))))))</f>
        <v/>
      </c>
      <c r="K16" s="24">
        <f>IF(K$13="","",IF('設定'!$B$10="","",IF(COUNTIFS(LeaveName,'設定'!$B$10,LeaveType,"AL",LeaveDate,"&gt;="&amp;K$13,LeaveDate,"&lt;"&amp;K$13+7)&gt;0,"AL",IF(COUNTIFS(LeaveName,'設定'!$B$10,LeaveType,"SL",LeaveDate,"&gt;="&amp;K$13,LeaveDate,"&lt;"&amp;K$13+7)&gt;0,"SL",IF('設定'!$C$10="S","S",IF('設定'!$C$10="R",IF(MOD(INT((K$13-'設定'!$B$4)/7)+IF('設定'!$D$10="",0,'設定'!$D$10),16)&lt;4,"A",IF(MOD(INT((K$13-'設定'!$B$4)/7)+IF('設定'!$D$10="",0,'設定'!$D$10),16)&lt;8,"P",IF(MOD(INT((K$13-'設定'!$B$4)/7)+IF('設定'!$D$10="",0,'設定'!$D$10),16)&lt;12,"N","P"))),""))))))</f>
        <v/>
      </c>
      <c r="L16" s="24">
        <f>IF(L$13="","",IF('設定'!$B$10="","",IF(COUNTIFS(LeaveName,'設定'!$B$10,LeaveType,"AL",LeaveDate,"&gt;="&amp;L$13,LeaveDate,"&lt;"&amp;L$13+7)&gt;0,"AL",IF(COUNTIFS(LeaveName,'設定'!$B$10,LeaveType,"SL",LeaveDate,"&gt;="&amp;L$13,LeaveDate,"&lt;"&amp;L$13+7)&gt;0,"SL",IF('設定'!$C$10="S","S",IF('設定'!$C$10="R",IF(MOD(INT((L$13-'設定'!$B$4)/7)+IF('設定'!$D$10="",0,'設定'!$D$10),16)&lt;4,"A",IF(MOD(INT((L$13-'設定'!$B$4)/7)+IF('設定'!$D$10="",0,'設定'!$D$10),16)&lt;8,"P",IF(MOD(INT((L$13-'設定'!$B$4)/7)+IF('設定'!$D$10="",0,'設定'!$D$10),16)&lt;12,"N","P"))),""))))))</f>
        <v/>
      </c>
      <c r="M16" s="24">
        <f>IF(M$13="","",IF('設定'!$B$10="","",IF(COUNTIFS(LeaveName,'設定'!$B$10,LeaveType,"AL",LeaveDate,"&gt;="&amp;M$13,LeaveDate,"&lt;"&amp;M$13+7)&gt;0,"AL",IF(COUNTIFS(LeaveName,'設定'!$B$10,LeaveType,"SL",LeaveDate,"&gt;="&amp;M$13,LeaveDate,"&lt;"&amp;M$13+7)&gt;0,"SL",IF('設定'!$C$10="S","S",IF('設定'!$C$10="R",IF(MOD(INT((M$13-'設定'!$B$4)/7)+IF('設定'!$D$10="",0,'設定'!$D$10),16)&lt;4,"A",IF(MOD(INT((M$13-'設定'!$B$4)/7)+IF('設定'!$D$10="",0,'設定'!$D$10),16)&lt;8,"P",IF(MOD(INT((M$13-'設定'!$B$4)/7)+IF('設定'!$D$10="",0,'設定'!$D$10),16)&lt;12,"N","P"))),""))))))</f>
        <v/>
      </c>
      <c r="N16" s="24">
        <f>IF(N$13="","",IF('設定'!$B$10="","",IF(COUNTIFS(LeaveName,'設定'!$B$10,LeaveType,"AL",LeaveDate,"&gt;="&amp;N$13,LeaveDate,"&lt;"&amp;N$13+7)&gt;0,"AL",IF(COUNTIFS(LeaveName,'設定'!$B$10,LeaveType,"SL",LeaveDate,"&gt;="&amp;N$13,LeaveDate,"&lt;"&amp;N$13+7)&gt;0,"SL",IF('設定'!$C$10="S","S",IF('設定'!$C$10="R",IF(MOD(INT((N$13-'設定'!$B$4)/7)+IF('設定'!$D$10="",0,'設定'!$D$10),16)&lt;4,"A",IF(MOD(INT((N$13-'設定'!$B$4)/7)+IF('設定'!$D$10="",0,'設定'!$D$10),16)&lt;8,"P",IF(MOD(INT((N$13-'設定'!$B$4)/7)+IF('設定'!$D$10="",0,'設定'!$D$10),16)&lt;12,"N","P"))),""))))))</f>
        <v/>
      </c>
      <c r="O16" s="24">
        <f>IF(O$13="","",IF('設定'!$B$10="","",IF(COUNTIFS(LeaveName,'設定'!$B$10,LeaveType,"AL",LeaveDate,"&gt;="&amp;O$13,LeaveDate,"&lt;"&amp;O$13+7)&gt;0,"AL",IF(COUNTIFS(LeaveName,'設定'!$B$10,LeaveType,"SL",LeaveDate,"&gt;="&amp;O$13,LeaveDate,"&lt;"&amp;O$13+7)&gt;0,"SL",IF('設定'!$C$10="S","S",IF('設定'!$C$10="R",IF(MOD(INT((O$13-'設定'!$B$4)/7)+IF('設定'!$D$10="",0,'設定'!$D$10),16)&lt;4,"A",IF(MOD(INT((O$13-'設定'!$B$4)/7)+IF('設定'!$D$10="",0,'設定'!$D$10),16)&lt;8,"P",IF(MOD(INT((O$13-'設定'!$B$4)/7)+IF('設定'!$D$10="",0,'設定'!$D$10),16)&lt;12,"N","P"))),""))))))</f>
        <v/>
      </c>
      <c r="P16" s="24">
        <f>IF(P$13="","",IF('設定'!$B$10="","",IF(COUNTIFS(LeaveName,'設定'!$B$10,LeaveType,"AL",LeaveDate,"&gt;="&amp;P$13,LeaveDate,"&lt;"&amp;P$13+7)&gt;0,"AL",IF(COUNTIFS(LeaveName,'設定'!$B$10,LeaveType,"SL",LeaveDate,"&gt;="&amp;P$13,LeaveDate,"&lt;"&amp;P$13+7)&gt;0,"SL",IF('設定'!$C$10="S","S",IF('設定'!$C$10="R",IF(MOD(INT((P$13-'設定'!$B$4)/7)+IF('設定'!$D$10="",0,'設定'!$D$10),16)&lt;4,"A",IF(MOD(INT((P$13-'設定'!$B$4)/7)+IF('設定'!$D$10="",0,'設定'!$D$10),16)&lt;8,"P",IF(MOD(INT((P$13-'設定'!$B$4)/7)+IF('設定'!$D$10="",0,'設定'!$D$10),16)&lt;12,"N","P"))),""))))))</f>
        <v/>
      </c>
      <c r="Q16" s="24">
        <f>IF(Q$13="","",IF('設定'!$B$10="","",IF(COUNTIFS(LeaveName,'設定'!$B$10,LeaveType,"AL",LeaveDate,"&gt;="&amp;Q$13,LeaveDate,"&lt;"&amp;Q$13+7)&gt;0,"AL",IF(COUNTIFS(LeaveName,'設定'!$B$10,LeaveType,"SL",LeaveDate,"&gt;="&amp;Q$13,LeaveDate,"&lt;"&amp;Q$13+7)&gt;0,"SL",IF('設定'!$C$10="S","S",IF('設定'!$C$10="R",IF(MOD(INT((Q$13-'設定'!$B$4)/7)+IF('設定'!$D$10="",0,'設定'!$D$10),16)&lt;4,"A",IF(MOD(INT((Q$13-'設定'!$B$4)/7)+IF('設定'!$D$10="",0,'設定'!$D$10),16)&lt;8,"P",IF(MOD(INT((Q$13-'設定'!$B$4)/7)+IF('設定'!$D$10="",0,'設定'!$D$10),16)&lt;12,"N","P"))),""))))))</f>
        <v/>
      </c>
      <c r="R16" s="24">
        <f>IF(R$13="","",IF('設定'!$B$10="","",IF(COUNTIFS(LeaveName,'設定'!$B$10,LeaveType,"AL",LeaveDate,"&gt;="&amp;R$13,LeaveDate,"&lt;"&amp;R$13+7)&gt;0,"AL",IF(COUNTIFS(LeaveName,'設定'!$B$10,LeaveType,"SL",LeaveDate,"&gt;="&amp;R$13,LeaveDate,"&lt;"&amp;R$13+7)&gt;0,"SL",IF('設定'!$C$10="S","S",IF('設定'!$C$10="R",IF(MOD(INT((R$13-'設定'!$B$4)/7)+IF('設定'!$D$10="",0,'設定'!$D$10),16)&lt;4,"A",IF(MOD(INT((R$13-'設定'!$B$4)/7)+IF('設定'!$D$10="",0,'設定'!$D$10),16)&lt;8,"P",IF(MOD(INT((R$13-'設定'!$B$4)/7)+IF('設定'!$D$10="",0,'設定'!$D$10),16)&lt;12,"N","P"))),""))))))</f>
        <v/>
      </c>
      <c r="S16" s="24">
        <f>IF(S$13="","",IF('設定'!$B$10="","",IF(COUNTIFS(LeaveName,'設定'!$B$10,LeaveType,"AL",LeaveDate,"&gt;="&amp;S$13,LeaveDate,"&lt;"&amp;S$13+7)&gt;0,"AL",IF(COUNTIFS(LeaveName,'設定'!$B$10,LeaveType,"SL",LeaveDate,"&gt;="&amp;S$13,LeaveDate,"&lt;"&amp;S$13+7)&gt;0,"SL",IF('設定'!$C$10="S","S",IF('設定'!$C$10="R",IF(MOD(INT((S$13-'設定'!$B$4)/7)+IF('設定'!$D$10="",0,'設定'!$D$10),16)&lt;4,"A",IF(MOD(INT((S$13-'設定'!$B$4)/7)+IF('設定'!$D$10="",0,'設定'!$D$10),16)&lt;8,"P",IF(MOD(INT((S$13-'設定'!$B$4)/7)+IF('設定'!$D$10="",0,'設定'!$D$10),16)&lt;12,"N","P"))),""))))))</f>
        <v/>
      </c>
      <c r="T16" s="24">
        <f>IF(T$13="","",IF('設定'!$B$10="","",IF(COUNTIFS(LeaveName,'設定'!$B$10,LeaveType,"AL",LeaveDate,"&gt;="&amp;T$13,LeaveDate,"&lt;"&amp;T$13+7)&gt;0,"AL",IF(COUNTIFS(LeaveName,'設定'!$B$10,LeaveType,"SL",LeaveDate,"&gt;="&amp;T$13,LeaveDate,"&lt;"&amp;T$13+7)&gt;0,"SL",IF('設定'!$C$10="S","S",IF('設定'!$C$10="R",IF(MOD(INT((T$13-'設定'!$B$4)/7)+IF('設定'!$D$10="",0,'設定'!$D$10),16)&lt;4,"A",IF(MOD(INT((T$13-'設定'!$B$4)/7)+IF('設定'!$D$10="",0,'設定'!$D$10),16)&lt;8,"P",IF(MOD(INT((T$13-'設定'!$B$4)/7)+IF('設定'!$D$10="",0,'設定'!$D$10),16)&lt;12,"N","P"))),""))))))</f>
        <v/>
      </c>
      <c r="U16" s="24">
        <f>IF(U$13="","",IF('設定'!$B$10="","",IF(COUNTIFS(LeaveName,'設定'!$B$10,LeaveType,"AL",LeaveDate,"&gt;="&amp;U$13,LeaveDate,"&lt;"&amp;U$13+7)&gt;0,"AL",IF(COUNTIFS(LeaveName,'設定'!$B$10,LeaveType,"SL",LeaveDate,"&gt;="&amp;U$13,LeaveDate,"&lt;"&amp;U$13+7)&gt;0,"SL",IF('設定'!$C$10="S","S",IF('設定'!$C$10="R",IF(MOD(INT((U$13-'設定'!$B$4)/7)+IF('設定'!$D$10="",0,'設定'!$D$10),16)&lt;4,"A",IF(MOD(INT((U$13-'設定'!$B$4)/7)+IF('設定'!$D$10="",0,'設定'!$D$10),16)&lt;8,"P",IF(MOD(INT((U$13-'設定'!$B$4)/7)+IF('設定'!$D$10="",0,'設定'!$D$10),16)&lt;12,"N","P"))),""))))))</f>
        <v/>
      </c>
      <c r="V16" s="24">
        <f>IF(V$13="","",IF('設定'!$B$10="","",IF(COUNTIFS(LeaveName,'設定'!$B$10,LeaveType,"AL",LeaveDate,"&gt;="&amp;V$13,LeaveDate,"&lt;"&amp;V$13+7)&gt;0,"AL",IF(COUNTIFS(LeaveName,'設定'!$B$10,LeaveType,"SL",LeaveDate,"&gt;="&amp;V$13,LeaveDate,"&lt;"&amp;V$13+7)&gt;0,"SL",IF('設定'!$C$10="S","S",IF('設定'!$C$10="R",IF(MOD(INT((V$13-'設定'!$B$4)/7)+IF('設定'!$D$10="",0,'設定'!$D$10),16)&lt;4,"A",IF(MOD(INT((V$13-'設定'!$B$4)/7)+IF('設定'!$D$10="",0,'設定'!$D$10),16)&lt;8,"P",IF(MOD(INT((V$13-'設定'!$B$4)/7)+IF('設定'!$D$10="",0,'設定'!$D$10),16)&lt;12,"N","P"))),""))))))</f>
        <v/>
      </c>
      <c r="W16" s="24">
        <f>IF(W$13="","",IF('設定'!$B$10="","",IF(COUNTIFS(LeaveName,'設定'!$B$10,LeaveType,"AL",LeaveDate,"&gt;="&amp;W$13,LeaveDate,"&lt;"&amp;W$13+7)&gt;0,"AL",IF(COUNTIFS(LeaveName,'設定'!$B$10,LeaveType,"SL",LeaveDate,"&gt;="&amp;W$13,LeaveDate,"&lt;"&amp;W$13+7)&gt;0,"SL",IF('設定'!$C$10="S","S",IF('設定'!$C$10="R",IF(MOD(INT((W$13-'設定'!$B$4)/7)+IF('設定'!$D$10="",0,'設定'!$D$10),16)&lt;4,"A",IF(MOD(INT((W$13-'設定'!$B$4)/7)+IF('設定'!$D$10="",0,'設定'!$D$10),16)&lt;8,"P",IF(MOD(INT((W$13-'設定'!$B$4)/7)+IF('設定'!$D$10="",0,'設定'!$D$10),16)&lt;12,"N","P"))),""))))))</f>
        <v/>
      </c>
      <c r="X16" s="24">
        <f>IF(X$13="","",IF('設定'!$B$10="","",IF(COUNTIFS(LeaveName,'設定'!$B$10,LeaveType,"AL",LeaveDate,"&gt;="&amp;X$13,LeaveDate,"&lt;"&amp;X$13+7)&gt;0,"AL",IF(COUNTIFS(LeaveName,'設定'!$B$10,LeaveType,"SL",LeaveDate,"&gt;="&amp;X$13,LeaveDate,"&lt;"&amp;X$13+7)&gt;0,"SL",IF('設定'!$C$10="S","S",IF('設定'!$C$10="R",IF(MOD(INT((X$13-'設定'!$B$4)/7)+IF('設定'!$D$10="",0,'設定'!$D$10),16)&lt;4,"A",IF(MOD(INT((X$13-'設定'!$B$4)/7)+IF('設定'!$D$10="",0,'設定'!$D$10),16)&lt;8,"P",IF(MOD(INT((X$13-'設定'!$B$4)/7)+IF('設定'!$D$10="",0,'設定'!$D$10),16)&lt;12,"N","P"))),""))))))</f>
        <v/>
      </c>
      <c r="Y16" s="24">
        <f>IF(Y$13="","",IF('設定'!$B$10="","",IF(COUNTIFS(LeaveName,'設定'!$B$10,LeaveType,"AL",LeaveDate,"&gt;="&amp;Y$13,LeaveDate,"&lt;"&amp;Y$13+7)&gt;0,"AL",IF(COUNTIFS(LeaveName,'設定'!$B$10,LeaveType,"SL",LeaveDate,"&gt;="&amp;Y$13,LeaveDate,"&lt;"&amp;Y$13+7)&gt;0,"SL",IF('設定'!$C$10="S","S",IF('設定'!$C$10="R",IF(MOD(INT((Y$13-'設定'!$B$4)/7)+IF('設定'!$D$10="",0,'設定'!$D$10),16)&lt;4,"A",IF(MOD(INT((Y$13-'設定'!$B$4)/7)+IF('設定'!$D$10="",0,'設定'!$D$10),16)&lt;8,"P",IF(MOD(INT((Y$13-'設定'!$B$4)/7)+IF('設定'!$D$10="",0,'設定'!$D$10),16)&lt;12,"N","P"))),""))))))</f>
        <v/>
      </c>
      <c r="Z16" s="24">
        <f>IF(Z$13="","",IF('設定'!$B$10="","",IF(COUNTIFS(LeaveName,'設定'!$B$10,LeaveType,"AL",LeaveDate,"&gt;="&amp;Z$13,LeaveDate,"&lt;"&amp;Z$13+7)&gt;0,"AL",IF(COUNTIFS(LeaveName,'設定'!$B$10,LeaveType,"SL",LeaveDate,"&gt;="&amp;Z$13,LeaveDate,"&lt;"&amp;Z$13+7)&gt;0,"SL",IF('設定'!$C$10="S","S",IF('設定'!$C$10="R",IF(MOD(INT((Z$13-'設定'!$B$4)/7)+IF('設定'!$D$10="",0,'設定'!$D$10),16)&lt;4,"A",IF(MOD(INT((Z$13-'設定'!$B$4)/7)+IF('設定'!$D$10="",0,'設定'!$D$10),16)&lt;8,"P",IF(MOD(INT((Z$13-'設定'!$B$4)/7)+IF('設定'!$D$10="",0,'設定'!$D$10),16)&lt;12,"N","P"))),""))))))</f>
        <v/>
      </c>
      <c r="AA16" s="24">
        <f>IF(AA$13="","",IF('設定'!$B$10="","",IF(COUNTIFS(LeaveName,'設定'!$B$10,LeaveType,"AL",LeaveDate,"&gt;="&amp;AA$13,LeaveDate,"&lt;"&amp;AA$13+7)&gt;0,"AL",IF(COUNTIFS(LeaveName,'設定'!$B$10,LeaveType,"SL",LeaveDate,"&gt;="&amp;AA$13,LeaveDate,"&lt;"&amp;AA$13+7)&gt;0,"SL",IF('設定'!$C$10="S","S",IF('設定'!$C$10="R",IF(MOD(INT((AA$13-'設定'!$B$4)/7)+IF('設定'!$D$10="",0,'設定'!$D$10),16)&lt;4,"A",IF(MOD(INT((AA$13-'設定'!$B$4)/7)+IF('設定'!$D$10="",0,'設定'!$D$10),16)&lt;8,"P",IF(MOD(INT((AA$13-'設定'!$B$4)/7)+IF('設定'!$D$10="",0,'設定'!$D$10),16)&lt;12,"N","P"))),""))))))</f>
        <v/>
      </c>
      <c r="AB16" s="24">
        <f>IF(AB$13="","",IF('設定'!$B$10="","",IF(COUNTIFS(LeaveName,'設定'!$B$10,LeaveType,"AL",LeaveDate,"&gt;="&amp;AB$13,LeaveDate,"&lt;"&amp;AB$13+7)&gt;0,"AL",IF(COUNTIFS(LeaveName,'設定'!$B$10,LeaveType,"SL",LeaveDate,"&gt;="&amp;AB$13,LeaveDate,"&lt;"&amp;AB$13+7)&gt;0,"SL",IF('設定'!$C$10="S","S",IF('設定'!$C$10="R",IF(MOD(INT((AB$13-'設定'!$B$4)/7)+IF('設定'!$D$10="",0,'設定'!$D$10),16)&lt;4,"A",IF(MOD(INT((AB$13-'設定'!$B$4)/7)+IF('設定'!$D$10="",0,'設定'!$D$10),16)&lt;8,"P",IF(MOD(INT((AB$13-'設定'!$B$4)/7)+IF('設定'!$D$10="",0,'設定'!$D$10),16)&lt;12,"N","P"))),""))))))</f>
        <v/>
      </c>
      <c r="AC16" s="24">
        <f>IF(AC$13="","",IF('設定'!$B$10="","",IF(COUNTIFS(LeaveName,'設定'!$B$10,LeaveType,"AL",LeaveDate,"&gt;="&amp;AC$13,LeaveDate,"&lt;"&amp;AC$13+7)&gt;0,"AL",IF(COUNTIFS(LeaveName,'設定'!$B$10,LeaveType,"SL",LeaveDate,"&gt;="&amp;AC$13,LeaveDate,"&lt;"&amp;AC$13+7)&gt;0,"SL",IF('設定'!$C$10="S","S",IF('設定'!$C$10="R",IF(MOD(INT((AC$13-'設定'!$B$4)/7)+IF('設定'!$D$10="",0,'設定'!$D$10),16)&lt;4,"A",IF(MOD(INT((AC$13-'設定'!$B$4)/7)+IF('設定'!$D$10="",0,'設定'!$D$10),16)&lt;8,"P",IF(MOD(INT((AC$13-'設定'!$B$4)/7)+IF('設定'!$D$10="",0,'設定'!$D$10),16)&lt;12,"N","P"))),""))))))</f>
        <v/>
      </c>
      <c r="AD16" s="24">
        <f>IF(AD$13="","",IF('設定'!$B$10="","",IF(COUNTIFS(LeaveName,'設定'!$B$10,LeaveType,"AL",LeaveDate,"&gt;="&amp;AD$13,LeaveDate,"&lt;"&amp;AD$13+7)&gt;0,"AL",IF(COUNTIFS(LeaveName,'設定'!$B$10,LeaveType,"SL",LeaveDate,"&gt;="&amp;AD$13,LeaveDate,"&lt;"&amp;AD$13+7)&gt;0,"SL",IF('設定'!$C$10="S","S",IF('設定'!$C$10="R",IF(MOD(INT((AD$13-'設定'!$B$4)/7)+IF('設定'!$D$10="",0,'設定'!$D$10),16)&lt;4,"A",IF(MOD(INT((AD$13-'設定'!$B$4)/7)+IF('設定'!$D$10="",0,'設定'!$D$10),16)&lt;8,"P",IF(MOD(INT((AD$13-'設定'!$B$4)/7)+IF('設定'!$D$10="",0,'設定'!$D$10),16)&lt;12,"N","P"))),""))))))</f>
        <v/>
      </c>
      <c r="AE16" s="24">
        <f>IF(AE$13="","",IF('設定'!$B$10="","",IF(COUNTIFS(LeaveName,'設定'!$B$10,LeaveType,"AL",LeaveDate,"&gt;="&amp;AE$13,LeaveDate,"&lt;"&amp;AE$13+7)&gt;0,"AL",IF(COUNTIFS(LeaveName,'設定'!$B$10,LeaveType,"SL",LeaveDate,"&gt;="&amp;AE$13,LeaveDate,"&lt;"&amp;AE$13+7)&gt;0,"SL",IF('設定'!$C$10="S","S",IF('設定'!$C$10="R",IF(MOD(INT((AE$13-'設定'!$B$4)/7)+IF('設定'!$D$10="",0,'設定'!$D$10),16)&lt;4,"A",IF(MOD(INT((AE$13-'設定'!$B$4)/7)+IF('設定'!$D$10="",0,'設定'!$D$10),16)&lt;8,"P",IF(MOD(INT((AE$13-'設定'!$B$4)/7)+IF('設定'!$D$10="",0,'設定'!$D$10),16)&lt;12,"N","P"))),""))))))</f>
        <v/>
      </c>
      <c r="AF16" s="24">
        <f>IF(AF$13="","",IF('設定'!$B$10="","",IF(COUNTIFS(LeaveName,'設定'!$B$10,LeaveType,"AL",LeaveDate,"&gt;="&amp;AF$13,LeaveDate,"&lt;"&amp;AF$13+7)&gt;0,"AL",IF(COUNTIFS(LeaveName,'設定'!$B$10,LeaveType,"SL",LeaveDate,"&gt;="&amp;AF$13,LeaveDate,"&lt;"&amp;AF$13+7)&gt;0,"SL",IF('設定'!$C$10="S","S",IF('設定'!$C$10="R",IF(MOD(INT((AF$13-'設定'!$B$4)/7)+IF('設定'!$D$10="",0,'設定'!$D$10),16)&lt;4,"A",IF(MOD(INT((AF$13-'設定'!$B$4)/7)+IF('設定'!$D$10="",0,'設定'!$D$10),16)&lt;8,"P",IF(MOD(INT((AF$13-'設定'!$B$4)/7)+IF('設定'!$D$10="",0,'設定'!$D$10),16)&lt;12,"N","P"))),""))))))</f>
        <v/>
      </c>
      <c r="AG16" s="24">
        <f>IF(AG$13="","",IF('設定'!$B$10="","",IF(COUNTIFS(LeaveName,'設定'!$B$10,LeaveType,"AL",LeaveDate,"&gt;="&amp;AG$13,LeaveDate,"&lt;"&amp;AG$13+7)&gt;0,"AL",IF(COUNTIFS(LeaveName,'設定'!$B$10,LeaveType,"SL",LeaveDate,"&gt;="&amp;AG$13,LeaveDate,"&lt;"&amp;AG$13+7)&gt;0,"SL",IF('設定'!$C$10="S","S",IF('設定'!$C$10="R",IF(MOD(INT((AG$13-'設定'!$B$4)/7)+IF('設定'!$D$10="",0,'設定'!$D$10),16)&lt;4,"A",IF(MOD(INT((AG$13-'設定'!$B$4)/7)+IF('設定'!$D$10="",0,'設定'!$D$10),16)&lt;8,"P",IF(MOD(INT((AG$13-'設定'!$B$4)/7)+IF('設定'!$D$10="",0,'設定'!$D$10),16)&lt;12,"N","P"))),""))))))</f>
        <v/>
      </c>
      <c r="AH16" s="24">
        <f>IF(AH$13="","",IF('設定'!$B$10="","",IF(COUNTIFS(LeaveName,'設定'!$B$10,LeaveType,"AL",LeaveDate,"&gt;="&amp;AH$13,LeaveDate,"&lt;"&amp;AH$13+7)&gt;0,"AL",IF(COUNTIFS(LeaveName,'設定'!$B$10,LeaveType,"SL",LeaveDate,"&gt;="&amp;AH$13,LeaveDate,"&lt;"&amp;AH$13+7)&gt;0,"SL",IF('設定'!$C$10="S","S",IF('設定'!$C$10="R",IF(MOD(INT((AH$13-'設定'!$B$4)/7)+IF('設定'!$D$10="",0,'設定'!$D$10),16)&lt;4,"A",IF(MOD(INT((AH$13-'設定'!$B$4)/7)+IF('設定'!$D$10="",0,'設定'!$D$10),16)&lt;8,"P",IF(MOD(INT((AH$13-'設定'!$B$4)/7)+IF('設定'!$D$10="",0,'設定'!$D$10),16)&lt;12,"N","P"))),""))))))</f>
        <v/>
      </c>
      <c r="AI16" s="24">
        <f>IF(AI$13="","",IF('設定'!$B$10="","",IF(COUNTIFS(LeaveName,'設定'!$B$10,LeaveType,"AL",LeaveDate,"&gt;="&amp;AI$13,LeaveDate,"&lt;"&amp;AI$13+7)&gt;0,"AL",IF(COUNTIFS(LeaveName,'設定'!$B$10,LeaveType,"SL",LeaveDate,"&gt;="&amp;AI$13,LeaveDate,"&lt;"&amp;AI$13+7)&gt;0,"SL",IF('設定'!$C$10="S","S",IF('設定'!$C$10="R",IF(MOD(INT((AI$13-'設定'!$B$4)/7)+IF('設定'!$D$10="",0,'設定'!$D$10),16)&lt;4,"A",IF(MOD(INT((AI$13-'設定'!$B$4)/7)+IF('設定'!$D$10="",0,'設定'!$D$10),16)&lt;8,"P",IF(MOD(INT((AI$13-'設定'!$B$4)/7)+IF('設定'!$D$10="",0,'設定'!$D$10),16)&lt;12,"N","P"))),""))))))</f>
        <v/>
      </c>
      <c r="AJ16" s="24">
        <f>IF(AJ$13="","",IF('設定'!$B$10="","",IF(COUNTIFS(LeaveName,'設定'!$B$10,LeaveType,"AL",LeaveDate,"&gt;="&amp;AJ$13,LeaveDate,"&lt;"&amp;AJ$13+7)&gt;0,"AL",IF(COUNTIFS(LeaveName,'設定'!$B$10,LeaveType,"SL",LeaveDate,"&gt;="&amp;AJ$13,LeaveDate,"&lt;"&amp;AJ$13+7)&gt;0,"SL",IF('設定'!$C$10="S","S",IF('設定'!$C$10="R",IF(MOD(INT((AJ$13-'設定'!$B$4)/7)+IF('設定'!$D$10="",0,'設定'!$D$10),16)&lt;4,"A",IF(MOD(INT((AJ$13-'設定'!$B$4)/7)+IF('設定'!$D$10="",0,'設定'!$D$10),16)&lt;8,"P",IF(MOD(INT((AJ$13-'設定'!$B$4)/7)+IF('設定'!$D$10="",0,'設定'!$D$10),16)&lt;12,"N","P"))),""))))))</f>
        <v/>
      </c>
      <c r="AK16" s="24">
        <f>IF(AK$13="","",IF('設定'!$B$10="","",IF(COUNTIFS(LeaveName,'設定'!$B$10,LeaveType,"AL",LeaveDate,"&gt;="&amp;AK$13,LeaveDate,"&lt;"&amp;AK$13+7)&gt;0,"AL",IF(COUNTIFS(LeaveName,'設定'!$B$10,LeaveType,"SL",LeaveDate,"&gt;="&amp;AK$13,LeaveDate,"&lt;"&amp;AK$13+7)&gt;0,"SL",IF('設定'!$C$10="S","S",IF('設定'!$C$10="R",IF(MOD(INT((AK$13-'設定'!$B$4)/7)+IF('設定'!$D$10="",0,'設定'!$D$10),16)&lt;4,"A",IF(MOD(INT((AK$13-'設定'!$B$4)/7)+IF('設定'!$D$10="",0,'設定'!$D$10),16)&lt;8,"P",IF(MOD(INT((AK$13-'設定'!$B$4)/7)+IF('設定'!$D$10="",0,'設定'!$D$10),16)&lt;12,"N","P"))),""))))))</f>
        <v/>
      </c>
      <c r="AL16" s="24">
        <f>IF(AL$13="","",IF('設定'!$B$10="","",IF(COUNTIFS(LeaveName,'設定'!$B$10,LeaveType,"AL",LeaveDate,"&gt;="&amp;AL$13,LeaveDate,"&lt;"&amp;AL$13+7)&gt;0,"AL",IF(COUNTIFS(LeaveName,'設定'!$B$10,LeaveType,"SL",LeaveDate,"&gt;="&amp;AL$13,LeaveDate,"&lt;"&amp;AL$13+7)&gt;0,"SL",IF('設定'!$C$10="S","S",IF('設定'!$C$10="R",IF(MOD(INT((AL$13-'設定'!$B$4)/7)+IF('設定'!$D$10="",0,'設定'!$D$10),16)&lt;4,"A",IF(MOD(INT((AL$13-'設定'!$B$4)/7)+IF('設定'!$D$10="",0,'設定'!$D$10),16)&lt;8,"P",IF(MOD(INT((AL$13-'設定'!$B$4)/7)+IF('設定'!$D$10="",0,'設定'!$D$10),16)&lt;12,"N","P"))),""))))))</f>
        <v/>
      </c>
      <c r="AM16" s="24">
        <f>IF(AM$13="","",IF('設定'!$B$10="","",IF(COUNTIFS(LeaveName,'設定'!$B$10,LeaveType,"AL",LeaveDate,"&gt;="&amp;AM$13,LeaveDate,"&lt;"&amp;AM$13+7)&gt;0,"AL",IF(COUNTIFS(LeaveName,'設定'!$B$10,LeaveType,"SL",LeaveDate,"&gt;="&amp;AM$13,LeaveDate,"&lt;"&amp;AM$13+7)&gt;0,"SL",IF('設定'!$C$10="S","S",IF('設定'!$C$10="R",IF(MOD(INT((AM$13-'設定'!$B$4)/7)+IF('設定'!$D$10="",0,'設定'!$D$10),16)&lt;4,"A",IF(MOD(INT((AM$13-'設定'!$B$4)/7)+IF('設定'!$D$10="",0,'設定'!$D$10),16)&lt;8,"P",IF(MOD(INT((AM$13-'設定'!$B$4)/7)+IF('設定'!$D$10="",0,'設定'!$D$10),16)&lt;12,"N","P"))),""))))))</f>
        <v/>
      </c>
      <c r="AN16" s="24">
        <f>IF(AN$13="","",IF('設定'!$B$10="","",IF(COUNTIFS(LeaveName,'設定'!$B$10,LeaveType,"AL",LeaveDate,"&gt;="&amp;AN$13,LeaveDate,"&lt;"&amp;AN$13+7)&gt;0,"AL",IF(COUNTIFS(LeaveName,'設定'!$B$10,LeaveType,"SL",LeaveDate,"&gt;="&amp;AN$13,LeaveDate,"&lt;"&amp;AN$13+7)&gt;0,"SL",IF('設定'!$C$10="S","S",IF('設定'!$C$10="R",IF(MOD(INT((AN$13-'設定'!$B$4)/7)+IF('設定'!$D$10="",0,'設定'!$D$10),16)&lt;4,"A",IF(MOD(INT((AN$13-'設定'!$B$4)/7)+IF('設定'!$D$10="",0,'設定'!$D$10),16)&lt;8,"P",IF(MOD(INT((AN$13-'設定'!$B$4)/7)+IF('設定'!$D$10="",0,'設定'!$D$10),16)&lt;12,"N","P"))),""))))))</f>
        <v/>
      </c>
      <c r="AO16" s="24">
        <f>IF(AO$13="","",IF('設定'!$B$10="","",IF(COUNTIFS(LeaveName,'設定'!$B$10,LeaveType,"AL",LeaveDate,"&gt;="&amp;AO$13,LeaveDate,"&lt;"&amp;AO$13+7)&gt;0,"AL",IF(COUNTIFS(LeaveName,'設定'!$B$10,LeaveType,"SL",LeaveDate,"&gt;="&amp;AO$13,LeaveDate,"&lt;"&amp;AO$13+7)&gt;0,"SL",IF('設定'!$C$10="S","S",IF('設定'!$C$10="R",IF(MOD(INT((AO$13-'設定'!$B$4)/7)+IF('設定'!$D$10="",0,'設定'!$D$10),16)&lt;4,"A",IF(MOD(INT((AO$13-'設定'!$B$4)/7)+IF('設定'!$D$10="",0,'設定'!$D$10),16)&lt;8,"P",IF(MOD(INT((AO$13-'設定'!$B$4)/7)+IF('設定'!$D$10="",0,'設定'!$D$10),16)&lt;12,"N","P"))),""))))))</f>
        <v/>
      </c>
      <c r="AP16" s="24">
        <f>IF(AP$13="","",IF('設定'!$B$10="","",IF(COUNTIFS(LeaveName,'設定'!$B$10,LeaveType,"AL",LeaveDate,"&gt;="&amp;AP$13,LeaveDate,"&lt;"&amp;AP$13+7)&gt;0,"AL",IF(COUNTIFS(LeaveName,'設定'!$B$10,LeaveType,"SL",LeaveDate,"&gt;="&amp;AP$13,LeaveDate,"&lt;"&amp;AP$13+7)&gt;0,"SL",IF('設定'!$C$10="S","S",IF('設定'!$C$10="R",IF(MOD(INT((AP$13-'設定'!$B$4)/7)+IF('設定'!$D$10="",0,'設定'!$D$10),16)&lt;4,"A",IF(MOD(INT((AP$13-'設定'!$B$4)/7)+IF('設定'!$D$10="",0,'設定'!$D$10),16)&lt;8,"P",IF(MOD(INT((AP$13-'設定'!$B$4)/7)+IF('設定'!$D$10="",0,'設定'!$D$10),16)&lt;12,"N","P"))),""))))))</f>
        <v/>
      </c>
      <c r="AQ16" s="24">
        <f>IF(AQ$13="","",IF('設定'!$B$10="","",IF(COUNTIFS(LeaveName,'設定'!$B$10,LeaveType,"AL",LeaveDate,"&gt;="&amp;AQ$13,LeaveDate,"&lt;"&amp;AQ$13+7)&gt;0,"AL",IF(COUNTIFS(LeaveName,'設定'!$B$10,LeaveType,"SL",LeaveDate,"&gt;="&amp;AQ$13,LeaveDate,"&lt;"&amp;AQ$13+7)&gt;0,"SL",IF('設定'!$C$10="S","S",IF('設定'!$C$10="R",IF(MOD(INT((AQ$13-'設定'!$B$4)/7)+IF('設定'!$D$10="",0,'設定'!$D$10),16)&lt;4,"A",IF(MOD(INT((AQ$13-'設定'!$B$4)/7)+IF('設定'!$D$10="",0,'設定'!$D$10),16)&lt;8,"P",IF(MOD(INT((AQ$13-'設定'!$B$4)/7)+IF('設定'!$D$10="",0,'設定'!$D$10),16)&lt;12,"N","P"))),""))))))</f>
        <v/>
      </c>
      <c r="AR16" s="24">
        <f>IF(AR$13="","",IF('設定'!$B$10="","",IF(COUNTIFS(LeaveName,'設定'!$B$10,LeaveType,"AL",LeaveDate,"&gt;="&amp;AR$13,LeaveDate,"&lt;"&amp;AR$13+7)&gt;0,"AL",IF(COUNTIFS(LeaveName,'設定'!$B$10,LeaveType,"SL",LeaveDate,"&gt;="&amp;AR$13,LeaveDate,"&lt;"&amp;AR$13+7)&gt;0,"SL",IF('設定'!$C$10="S","S",IF('設定'!$C$10="R",IF(MOD(INT((AR$13-'設定'!$B$4)/7)+IF('設定'!$D$10="",0,'設定'!$D$10),16)&lt;4,"A",IF(MOD(INT((AR$13-'設定'!$B$4)/7)+IF('設定'!$D$10="",0,'設定'!$D$10),16)&lt;8,"P",IF(MOD(INT((AR$13-'設定'!$B$4)/7)+IF('設定'!$D$10="",0,'設定'!$D$10),16)&lt;12,"N","P"))),""))))))</f>
        <v/>
      </c>
      <c r="AS16" s="24">
        <f>IF(AS$13="","",IF('設定'!$B$10="","",IF(COUNTIFS(LeaveName,'設定'!$B$10,LeaveType,"AL",LeaveDate,"&gt;="&amp;AS$13,LeaveDate,"&lt;"&amp;AS$13+7)&gt;0,"AL",IF(COUNTIFS(LeaveName,'設定'!$B$10,LeaveType,"SL",LeaveDate,"&gt;="&amp;AS$13,LeaveDate,"&lt;"&amp;AS$13+7)&gt;0,"SL",IF('設定'!$C$10="S","S",IF('設定'!$C$10="R",IF(MOD(INT((AS$13-'設定'!$B$4)/7)+IF('設定'!$D$10="",0,'設定'!$D$10),16)&lt;4,"A",IF(MOD(INT((AS$13-'設定'!$B$4)/7)+IF('設定'!$D$10="",0,'設定'!$D$10),16)&lt;8,"P",IF(MOD(INT((AS$13-'設定'!$B$4)/7)+IF('設定'!$D$10="",0,'設定'!$D$10),16)&lt;12,"N","P"))),""))))))</f>
        <v/>
      </c>
      <c r="AT16" s="24">
        <f>IF(AT$13="","",IF('設定'!$B$10="","",IF(COUNTIFS(LeaveName,'設定'!$B$10,LeaveType,"AL",LeaveDate,"&gt;="&amp;AT$13,LeaveDate,"&lt;"&amp;AT$13+7)&gt;0,"AL",IF(COUNTIFS(LeaveName,'設定'!$B$10,LeaveType,"SL",LeaveDate,"&gt;="&amp;AT$13,LeaveDate,"&lt;"&amp;AT$13+7)&gt;0,"SL",IF('設定'!$C$10="S","S",IF('設定'!$C$10="R",IF(MOD(INT((AT$13-'設定'!$B$4)/7)+IF('設定'!$D$10="",0,'設定'!$D$10),16)&lt;4,"A",IF(MOD(INT((AT$13-'設定'!$B$4)/7)+IF('設定'!$D$10="",0,'設定'!$D$10),16)&lt;8,"P",IF(MOD(INT((AT$13-'設定'!$B$4)/7)+IF('設定'!$D$10="",0,'設定'!$D$10),16)&lt;12,"N","P"))),""))))))</f>
        <v/>
      </c>
      <c r="AU16" s="24">
        <f>IF(AU$13="","",IF('設定'!$B$10="","",IF(COUNTIFS(LeaveName,'設定'!$B$10,LeaveType,"AL",LeaveDate,"&gt;="&amp;AU$13,LeaveDate,"&lt;"&amp;AU$13+7)&gt;0,"AL",IF(COUNTIFS(LeaveName,'設定'!$B$10,LeaveType,"SL",LeaveDate,"&gt;="&amp;AU$13,LeaveDate,"&lt;"&amp;AU$13+7)&gt;0,"SL",IF('設定'!$C$10="S","S",IF('設定'!$C$10="R",IF(MOD(INT((AU$13-'設定'!$B$4)/7)+IF('設定'!$D$10="",0,'設定'!$D$10),16)&lt;4,"A",IF(MOD(INT((AU$13-'設定'!$B$4)/7)+IF('設定'!$D$10="",0,'設定'!$D$10),16)&lt;8,"P",IF(MOD(INT((AU$13-'設定'!$B$4)/7)+IF('設定'!$D$10="",0,'設定'!$D$10),16)&lt;12,"N","P"))),""))))))</f>
        <v/>
      </c>
      <c r="AV16" s="24">
        <f>IF(AV$13="","",IF('設定'!$B$10="","",IF(COUNTIFS(LeaveName,'設定'!$B$10,LeaveType,"AL",LeaveDate,"&gt;="&amp;AV$13,LeaveDate,"&lt;"&amp;AV$13+7)&gt;0,"AL",IF(COUNTIFS(LeaveName,'設定'!$B$10,LeaveType,"SL",LeaveDate,"&gt;="&amp;AV$13,LeaveDate,"&lt;"&amp;AV$13+7)&gt;0,"SL",IF('設定'!$C$10="S","S",IF('設定'!$C$10="R",IF(MOD(INT((AV$13-'設定'!$B$4)/7)+IF('設定'!$D$10="",0,'設定'!$D$10),16)&lt;4,"A",IF(MOD(INT((AV$13-'設定'!$B$4)/7)+IF('設定'!$D$10="",0,'設定'!$D$10),16)&lt;8,"P",IF(MOD(INT((AV$13-'設定'!$B$4)/7)+IF('設定'!$D$10="",0,'設定'!$D$10),16)&lt;12,"N","P"))),""))))))</f>
        <v/>
      </c>
      <c r="AW16" s="24">
        <f>IF(AW$13="","",IF('設定'!$B$10="","",IF(COUNTIFS(LeaveName,'設定'!$B$10,LeaveType,"AL",LeaveDate,"&gt;="&amp;AW$13,LeaveDate,"&lt;"&amp;AW$13+7)&gt;0,"AL",IF(COUNTIFS(LeaveName,'設定'!$B$10,LeaveType,"SL",LeaveDate,"&gt;="&amp;AW$13,LeaveDate,"&lt;"&amp;AW$13+7)&gt;0,"SL",IF('設定'!$C$10="S","S",IF('設定'!$C$10="R",IF(MOD(INT((AW$13-'設定'!$B$4)/7)+IF('設定'!$D$10="",0,'設定'!$D$10),16)&lt;4,"A",IF(MOD(INT((AW$13-'設定'!$B$4)/7)+IF('設定'!$D$10="",0,'設定'!$D$10),16)&lt;8,"P",IF(MOD(INT((AW$13-'設定'!$B$4)/7)+IF('設定'!$D$10="",0,'設定'!$D$10),16)&lt;12,"N","P"))),""))))))</f>
        <v/>
      </c>
      <c r="AX16" s="24">
        <f>IF(AX$13="","",IF('設定'!$B$10="","",IF(COUNTIFS(LeaveName,'設定'!$B$10,LeaveType,"AL",LeaveDate,"&gt;="&amp;AX$13,LeaveDate,"&lt;"&amp;AX$13+7)&gt;0,"AL",IF(COUNTIFS(LeaveName,'設定'!$B$10,LeaveType,"SL",LeaveDate,"&gt;="&amp;AX$13,LeaveDate,"&lt;"&amp;AX$13+7)&gt;0,"SL",IF('設定'!$C$10="S","S",IF('設定'!$C$10="R",IF(MOD(INT((AX$13-'設定'!$B$4)/7)+IF('設定'!$D$10="",0,'設定'!$D$10),16)&lt;4,"A",IF(MOD(INT((AX$13-'設定'!$B$4)/7)+IF('設定'!$D$10="",0,'設定'!$D$10),16)&lt;8,"P",IF(MOD(INT((AX$13-'設定'!$B$4)/7)+IF('設定'!$D$10="",0,'設定'!$D$10),16)&lt;12,"N","P"))),""))))))</f>
        <v/>
      </c>
      <c r="AY16" s="24">
        <f>IF(AY$13="","",IF('設定'!$B$10="","",IF(COUNTIFS(LeaveName,'設定'!$B$10,LeaveType,"AL",LeaveDate,"&gt;="&amp;AY$13,LeaveDate,"&lt;"&amp;AY$13+7)&gt;0,"AL",IF(COUNTIFS(LeaveName,'設定'!$B$10,LeaveType,"SL",LeaveDate,"&gt;="&amp;AY$13,LeaveDate,"&lt;"&amp;AY$13+7)&gt;0,"SL",IF('設定'!$C$10="S","S",IF('設定'!$C$10="R",IF(MOD(INT((AY$13-'設定'!$B$4)/7)+IF('設定'!$D$10="",0,'設定'!$D$10),16)&lt;4,"A",IF(MOD(INT((AY$13-'設定'!$B$4)/7)+IF('設定'!$D$10="",0,'設定'!$D$10),16)&lt;8,"P",IF(MOD(INT((AY$13-'設定'!$B$4)/7)+IF('設定'!$D$10="",0,'設定'!$D$10),16)&lt;12,"N","P"))),""))))))</f>
        <v/>
      </c>
      <c r="AZ16" s="24">
        <f>IF(AZ$13="","",IF('設定'!$B$10="","",IF(COUNTIFS(LeaveName,'設定'!$B$10,LeaveType,"AL",LeaveDate,"&gt;="&amp;AZ$13,LeaveDate,"&lt;"&amp;AZ$13+7)&gt;0,"AL",IF(COUNTIFS(LeaveName,'設定'!$B$10,LeaveType,"SL",LeaveDate,"&gt;="&amp;AZ$13,LeaveDate,"&lt;"&amp;AZ$13+7)&gt;0,"SL",IF('設定'!$C$10="S","S",IF('設定'!$C$10="R",IF(MOD(INT((AZ$13-'設定'!$B$4)/7)+IF('設定'!$D$10="",0,'設定'!$D$10),16)&lt;4,"A",IF(MOD(INT((AZ$13-'設定'!$B$4)/7)+IF('設定'!$D$10="",0,'設定'!$D$10),16)&lt;8,"P",IF(MOD(INT((AZ$13-'設定'!$B$4)/7)+IF('設定'!$D$10="",0,'設定'!$D$10),16)&lt;12,"N","P"))),""))))))</f>
        <v/>
      </c>
      <c r="BA16" s="24">
        <f>IF(BA$13="","",IF('設定'!$B$10="","",IF(COUNTIFS(LeaveName,'設定'!$B$10,LeaveType,"AL",LeaveDate,"&gt;="&amp;BA$13,LeaveDate,"&lt;"&amp;BA$13+7)&gt;0,"AL",IF(COUNTIFS(LeaveName,'設定'!$B$10,LeaveType,"SL",LeaveDate,"&gt;="&amp;BA$13,LeaveDate,"&lt;"&amp;BA$13+7)&gt;0,"SL",IF('設定'!$C$10="S","S",IF('設定'!$C$10="R",IF(MOD(INT((BA$13-'設定'!$B$4)/7)+IF('設定'!$D$10="",0,'設定'!$D$10),16)&lt;4,"A",IF(MOD(INT((BA$13-'設定'!$B$4)/7)+IF('設定'!$D$10="",0,'設定'!$D$10),16)&lt;8,"P",IF(MOD(INT((BA$13-'設定'!$B$4)/7)+IF('設定'!$D$10="",0,'設定'!$D$10),16)&lt;12,"N","P"))),""))))))</f>
        <v/>
      </c>
      <c r="BB16" s="24">
        <f>IF(BB$13="","",IF('設定'!$B$10="","",IF(COUNTIFS(LeaveName,'設定'!$B$10,LeaveType,"AL",LeaveDate,"&gt;="&amp;BB$13,LeaveDate,"&lt;"&amp;BB$13+7)&gt;0,"AL",IF(COUNTIFS(LeaveName,'設定'!$B$10,LeaveType,"SL",LeaveDate,"&gt;="&amp;BB$13,LeaveDate,"&lt;"&amp;BB$13+7)&gt;0,"SL",IF('設定'!$C$10="S","S",IF('設定'!$C$10="R",IF(MOD(INT((BB$13-'設定'!$B$4)/7)+IF('設定'!$D$10="",0,'設定'!$D$10),16)&lt;4,"A",IF(MOD(INT((BB$13-'設定'!$B$4)/7)+IF('設定'!$D$10="",0,'設定'!$D$10),16)&lt;8,"P",IF(MOD(INT((BB$13-'設定'!$B$4)/7)+IF('設定'!$D$10="",0,'設定'!$D$10),16)&lt;12,"N","P"))),""))))))</f>
        <v/>
      </c>
      <c r="BC16" s="24">
        <f>IF(BC$13="","",IF('設定'!$B$10="","",IF(COUNTIFS(LeaveName,'設定'!$B$10,LeaveType,"AL",LeaveDate,"&gt;="&amp;BC$13,LeaveDate,"&lt;"&amp;BC$13+7)&gt;0,"AL",IF(COUNTIFS(LeaveName,'設定'!$B$10,LeaveType,"SL",LeaveDate,"&gt;="&amp;BC$13,LeaveDate,"&lt;"&amp;BC$13+7)&gt;0,"SL",IF('設定'!$C$10="S","S",IF('設定'!$C$10="R",IF(MOD(INT((BC$13-'設定'!$B$4)/7)+IF('設定'!$D$10="",0,'設定'!$D$10),16)&lt;4,"A",IF(MOD(INT((BC$13-'設定'!$B$4)/7)+IF('設定'!$D$10="",0,'設定'!$D$10),16)&lt;8,"P",IF(MOD(INT((BC$13-'設定'!$B$4)/7)+IF('設定'!$D$10="",0,'設定'!$D$10),16)&lt;12,"N","P"))),""))))))</f>
        <v/>
      </c>
      <c r="BD16" s="24">
        <f>IF(BD$13="","",IF('設定'!$B$10="","",IF(COUNTIFS(LeaveName,'設定'!$B$10,LeaveType,"AL",LeaveDate,"&gt;="&amp;BD$13,LeaveDate,"&lt;"&amp;BD$13+7)&gt;0,"AL",IF(COUNTIFS(LeaveName,'設定'!$B$10,LeaveType,"SL",LeaveDate,"&gt;="&amp;BD$13,LeaveDate,"&lt;"&amp;BD$13+7)&gt;0,"SL",IF('設定'!$C$10="S","S",IF('設定'!$C$10="R",IF(MOD(INT((BD$13-'設定'!$B$4)/7)+IF('設定'!$D$10="",0,'設定'!$D$10),16)&lt;4,"A",IF(MOD(INT((BD$13-'設定'!$B$4)/7)+IF('設定'!$D$10="",0,'設定'!$D$10),16)&lt;8,"P",IF(MOD(INT((BD$13-'設定'!$B$4)/7)+IF('設定'!$D$10="",0,'設定'!$D$10),16)&lt;12,"N","P"))),""))))))</f>
        <v/>
      </c>
      <c r="BE16" s="24">
        <f>IF(BE$13="","",IF('設定'!$B$10="","",IF(COUNTIFS(LeaveName,'設定'!$B$10,LeaveType,"AL",LeaveDate,"&gt;="&amp;BE$13,LeaveDate,"&lt;"&amp;BE$13+7)&gt;0,"AL",IF(COUNTIFS(LeaveName,'設定'!$B$10,LeaveType,"SL",LeaveDate,"&gt;="&amp;BE$13,LeaveDate,"&lt;"&amp;BE$13+7)&gt;0,"SL",IF('設定'!$C$10="S","S",IF('設定'!$C$10="R",IF(MOD(INT((BE$13-'設定'!$B$4)/7)+IF('設定'!$D$10="",0,'設定'!$D$10),16)&lt;4,"A",IF(MOD(INT((BE$13-'設定'!$B$4)/7)+IF('設定'!$D$10="",0,'設定'!$D$10),16)&lt;8,"P",IF(MOD(INT((BE$13-'設定'!$B$4)/7)+IF('設定'!$D$10="",0,'設定'!$D$10),16)&lt;12,"N","P"))),""))))))</f>
        <v/>
      </c>
      <c r="BF16" s="24">
        <f>IF(BF$13="","",IF('設定'!$B$10="","",IF(COUNTIFS(LeaveName,'設定'!$B$10,LeaveType,"AL",LeaveDate,"&gt;="&amp;BF$13,LeaveDate,"&lt;"&amp;BF$13+7)&gt;0,"AL",IF(COUNTIFS(LeaveName,'設定'!$B$10,LeaveType,"SL",LeaveDate,"&gt;="&amp;BF$13,LeaveDate,"&lt;"&amp;BF$13+7)&gt;0,"SL",IF('設定'!$C$10="S","S",IF('設定'!$C$10="R",IF(MOD(INT((BF$13-'設定'!$B$4)/7)+IF('設定'!$D$10="",0,'設定'!$D$10),16)&lt;4,"A",IF(MOD(INT((BF$13-'設定'!$B$4)/7)+IF('設定'!$D$10="",0,'設定'!$D$10),16)&lt;8,"P",IF(MOD(INT((BF$13-'設定'!$B$4)/7)+IF('設定'!$D$10="",0,'設定'!$D$10),16)&lt;12,"N","P"))),""))))))</f>
        <v/>
      </c>
      <c r="BG16" s="24">
        <f>IF(BG$13="","",IF('設定'!$B$10="","",IF(COUNTIFS(LeaveName,'設定'!$B$10,LeaveType,"AL",LeaveDate,"&gt;="&amp;BG$13,LeaveDate,"&lt;"&amp;BG$13+7)&gt;0,"AL",IF(COUNTIFS(LeaveName,'設定'!$B$10,LeaveType,"SL",LeaveDate,"&gt;="&amp;BG$13,LeaveDate,"&lt;"&amp;BG$13+7)&gt;0,"SL",IF('設定'!$C$10="S","S",IF('設定'!$C$10="R",IF(MOD(INT((BG$13-'設定'!$B$4)/7)+IF('設定'!$D$10="",0,'設定'!$D$10),16)&lt;4,"A",IF(MOD(INT((BG$13-'設定'!$B$4)/7)+IF('設定'!$D$10="",0,'設定'!$D$10),16)&lt;8,"P",IF(MOD(INT((BG$13-'設定'!$B$4)/7)+IF('設定'!$D$10="",0,'設定'!$D$10),16)&lt;12,"N","P"))),""))))))</f>
        <v/>
      </c>
    </row>
    <row r="17" ht="22" customHeight="1">
      <c r="A17" s="20">
        <f>'設定'!B11</f>
        <v/>
      </c>
      <c r="B17" s="23">
        <f>IF(A17="","",COUNTIFS(LeaveName,A17,LeaveType,"AL",LeaveDate,"&gt;="&amp;DATE('設定'!$B$3,1,1),LeaveDate,"&lt;="&amp;DATE('設定'!$B$3,12,31)))</f>
        <v/>
      </c>
      <c r="C17" s="23">
        <f>IF(A17="","",IF('設定'!E11="","",'設定'!E11-B17))</f>
        <v/>
      </c>
      <c r="D17" s="21">
        <f>IF(A17="","",E17+F17)</f>
        <v/>
      </c>
      <c r="E17" s="22" t="n">
        <v>0</v>
      </c>
      <c r="F17" s="23">
        <f>IF(A17="","",CompYear4)</f>
        <v/>
      </c>
      <c r="G17" s="24">
        <f>IF(G$13="","",IF('設定'!$B$11="","",IF(COUNTIFS(LeaveName,'設定'!$B$11,LeaveType,"AL",LeaveDate,"&gt;="&amp;G$13,LeaveDate,"&lt;"&amp;G$13+7)&gt;0,"AL",IF(COUNTIFS(LeaveName,'設定'!$B$11,LeaveType,"SL",LeaveDate,"&gt;="&amp;G$13,LeaveDate,"&lt;"&amp;G$13+7)&gt;0,"SL",IF('設定'!$C$11="S","S",IF('設定'!$C$11="R",IF(MOD(INT((G$13-'設定'!$B$4)/7)+IF('設定'!$D$11="",0,'設定'!$D$11),16)&lt;4,"A",IF(MOD(INT((G$13-'設定'!$B$4)/7)+IF('設定'!$D$11="",0,'設定'!$D$11),16)&lt;8,"P",IF(MOD(INT((G$13-'設定'!$B$4)/7)+IF('設定'!$D$11="",0,'設定'!$D$11),16)&lt;12,"N","P"))),""))))))</f>
        <v/>
      </c>
      <c r="H17" s="24">
        <f>IF(H$13="","",IF('設定'!$B$11="","",IF(COUNTIFS(LeaveName,'設定'!$B$11,LeaveType,"AL",LeaveDate,"&gt;="&amp;H$13,LeaveDate,"&lt;"&amp;H$13+7)&gt;0,"AL",IF(COUNTIFS(LeaveName,'設定'!$B$11,LeaveType,"SL",LeaveDate,"&gt;="&amp;H$13,LeaveDate,"&lt;"&amp;H$13+7)&gt;0,"SL",IF('設定'!$C$11="S","S",IF('設定'!$C$11="R",IF(MOD(INT((H$13-'設定'!$B$4)/7)+IF('設定'!$D$11="",0,'設定'!$D$11),16)&lt;4,"A",IF(MOD(INT((H$13-'設定'!$B$4)/7)+IF('設定'!$D$11="",0,'設定'!$D$11),16)&lt;8,"P",IF(MOD(INT((H$13-'設定'!$B$4)/7)+IF('設定'!$D$11="",0,'設定'!$D$11),16)&lt;12,"N","P"))),""))))))</f>
        <v/>
      </c>
      <c r="I17" s="24">
        <f>IF(I$13="","",IF('設定'!$B$11="","",IF(COUNTIFS(LeaveName,'設定'!$B$11,LeaveType,"AL",LeaveDate,"&gt;="&amp;I$13,LeaveDate,"&lt;"&amp;I$13+7)&gt;0,"AL",IF(COUNTIFS(LeaveName,'設定'!$B$11,LeaveType,"SL",LeaveDate,"&gt;="&amp;I$13,LeaveDate,"&lt;"&amp;I$13+7)&gt;0,"SL",IF('設定'!$C$11="S","S",IF('設定'!$C$11="R",IF(MOD(INT((I$13-'設定'!$B$4)/7)+IF('設定'!$D$11="",0,'設定'!$D$11),16)&lt;4,"A",IF(MOD(INT((I$13-'設定'!$B$4)/7)+IF('設定'!$D$11="",0,'設定'!$D$11),16)&lt;8,"P",IF(MOD(INT((I$13-'設定'!$B$4)/7)+IF('設定'!$D$11="",0,'設定'!$D$11),16)&lt;12,"N","P"))),""))))))</f>
        <v/>
      </c>
      <c r="J17" s="24">
        <f>IF(J$13="","",IF('設定'!$B$11="","",IF(COUNTIFS(LeaveName,'設定'!$B$11,LeaveType,"AL",LeaveDate,"&gt;="&amp;J$13,LeaveDate,"&lt;"&amp;J$13+7)&gt;0,"AL",IF(COUNTIFS(LeaveName,'設定'!$B$11,LeaveType,"SL",LeaveDate,"&gt;="&amp;J$13,LeaveDate,"&lt;"&amp;J$13+7)&gt;0,"SL",IF('設定'!$C$11="S","S",IF('設定'!$C$11="R",IF(MOD(INT((J$13-'設定'!$B$4)/7)+IF('設定'!$D$11="",0,'設定'!$D$11),16)&lt;4,"A",IF(MOD(INT((J$13-'設定'!$B$4)/7)+IF('設定'!$D$11="",0,'設定'!$D$11),16)&lt;8,"P",IF(MOD(INT((J$13-'設定'!$B$4)/7)+IF('設定'!$D$11="",0,'設定'!$D$11),16)&lt;12,"N","P"))),""))))))</f>
        <v/>
      </c>
      <c r="K17" s="24">
        <f>IF(K$13="","",IF('設定'!$B$11="","",IF(COUNTIFS(LeaveName,'設定'!$B$11,LeaveType,"AL",LeaveDate,"&gt;="&amp;K$13,LeaveDate,"&lt;"&amp;K$13+7)&gt;0,"AL",IF(COUNTIFS(LeaveName,'設定'!$B$11,LeaveType,"SL",LeaveDate,"&gt;="&amp;K$13,LeaveDate,"&lt;"&amp;K$13+7)&gt;0,"SL",IF('設定'!$C$11="S","S",IF('設定'!$C$11="R",IF(MOD(INT((K$13-'設定'!$B$4)/7)+IF('設定'!$D$11="",0,'設定'!$D$11),16)&lt;4,"A",IF(MOD(INT((K$13-'設定'!$B$4)/7)+IF('設定'!$D$11="",0,'設定'!$D$11),16)&lt;8,"P",IF(MOD(INT((K$13-'設定'!$B$4)/7)+IF('設定'!$D$11="",0,'設定'!$D$11),16)&lt;12,"N","P"))),""))))))</f>
        <v/>
      </c>
      <c r="L17" s="24">
        <f>IF(L$13="","",IF('設定'!$B$11="","",IF(COUNTIFS(LeaveName,'設定'!$B$11,LeaveType,"AL",LeaveDate,"&gt;="&amp;L$13,LeaveDate,"&lt;"&amp;L$13+7)&gt;0,"AL",IF(COUNTIFS(LeaveName,'設定'!$B$11,LeaveType,"SL",LeaveDate,"&gt;="&amp;L$13,LeaveDate,"&lt;"&amp;L$13+7)&gt;0,"SL",IF('設定'!$C$11="S","S",IF('設定'!$C$11="R",IF(MOD(INT((L$13-'設定'!$B$4)/7)+IF('設定'!$D$11="",0,'設定'!$D$11),16)&lt;4,"A",IF(MOD(INT((L$13-'設定'!$B$4)/7)+IF('設定'!$D$11="",0,'設定'!$D$11),16)&lt;8,"P",IF(MOD(INT((L$13-'設定'!$B$4)/7)+IF('設定'!$D$11="",0,'設定'!$D$11),16)&lt;12,"N","P"))),""))))))</f>
        <v/>
      </c>
      <c r="M17" s="24">
        <f>IF(M$13="","",IF('設定'!$B$11="","",IF(COUNTIFS(LeaveName,'設定'!$B$11,LeaveType,"AL",LeaveDate,"&gt;="&amp;M$13,LeaveDate,"&lt;"&amp;M$13+7)&gt;0,"AL",IF(COUNTIFS(LeaveName,'設定'!$B$11,LeaveType,"SL",LeaveDate,"&gt;="&amp;M$13,LeaveDate,"&lt;"&amp;M$13+7)&gt;0,"SL",IF('設定'!$C$11="S","S",IF('設定'!$C$11="R",IF(MOD(INT((M$13-'設定'!$B$4)/7)+IF('設定'!$D$11="",0,'設定'!$D$11),16)&lt;4,"A",IF(MOD(INT((M$13-'設定'!$B$4)/7)+IF('設定'!$D$11="",0,'設定'!$D$11),16)&lt;8,"P",IF(MOD(INT((M$13-'設定'!$B$4)/7)+IF('設定'!$D$11="",0,'設定'!$D$11),16)&lt;12,"N","P"))),""))))))</f>
        <v/>
      </c>
      <c r="N17" s="24">
        <f>IF(N$13="","",IF('設定'!$B$11="","",IF(COUNTIFS(LeaveName,'設定'!$B$11,LeaveType,"AL",LeaveDate,"&gt;="&amp;N$13,LeaveDate,"&lt;"&amp;N$13+7)&gt;0,"AL",IF(COUNTIFS(LeaveName,'設定'!$B$11,LeaveType,"SL",LeaveDate,"&gt;="&amp;N$13,LeaveDate,"&lt;"&amp;N$13+7)&gt;0,"SL",IF('設定'!$C$11="S","S",IF('設定'!$C$11="R",IF(MOD(INT((N$13-'設定'!$B$4)/7)+IF('設定'!$D$11="",0,'設定'!$D$11),16)&lt;4,"A",IF(MOD(INT((N$13-'設定'!$B$4)/7)+IF('設定'!$D$11="",0,'設定'!$D$11),16)&lt;8,"P",IF(MOD(INT((N$13-'設定'!$B$4)/7)+IF('設定'!$D$11="",0,'設定'!$D$11),16)&lt;12,"N","P"))),""))))))</f>
        <v/>
      </c>
      <c r="O17" s="24">
        <f>IF(O$13="","",IF('設定'!$B$11="","",IF(COUNTIFS(LeaveName,'設定'!$B$11,LeaveType,"AL",LeaveDate,"&gt;="&amp;O$13,LeaveDate,"&lt;"&amp;O$13+7)&gt;0,"AL",IF(COUNTIFS(LeaveName,'設定'!$B$11,LeaveType,"SL",LeaveDate,"&gt;="&amp;O$13,LeaveDate,"&lt;"&amp;O$13+7)&gt;0,"SL",IF('設定'!$C$11="S","S",IF('設定'!$C$11="R",IF(MOD(INT((O$13-'設定'!$B$4)/7)+IF('設定'!$D$11="",0,'設定'!$D$11),16)&lt;4,"A",IF(MOD(INT((O$13-'設定'!$B$4)/7)+IF('設定'!$D$11="",0,'設定'!$D$11),16)&lt;8,"P",IF(MOD(INT((O$13-'設定'!$B$4)/7)+IF('設定'!$D$11="",0,'設定'!$D$11),16)&lt;12,"N","P"))),""))))))</f>
        <v/>
      </c>
      <c r="P17" s="24">
        <f>IF(P$13="","",IF('設定'!$B$11="","",IF(COUNTIFS(LeaveName,'設定'!$B$11,LeaveType,"AL",LeaveDate,"&gt;="&amp;P$13,LeaveDate,"&lt;"&amp;P$13+7)&gt;0,"AL",IF(COUNTIFS(LeaveName,'設定'!$B$11,LeaveType,"SL",LeaveDate,"&gt;="&amp;P$13,LeaveDate,"&lt;"&amp;P$13+7)&gt;0,"SL",IF('設定'!$C$11="S","S",IF('設定'!$C$11="R",IF(MOD(INT((P$13-'設定'!$B$4)/7)+IF('設定'!$D$11="",0,'設定'!$D$11),16)&lt;4,"A",IF(MOD(INT((P$13-'設定'!$B$4)/7)+IF('設定'!$D$11="",0,'設定'!$D$11),16)&lt;8,"P",IF(MOD(INT((P$13-'設定'!$B$4)/7)+IF('設定'!$D$11="",0,'設定'!$D$11),16)&lt;12,"N","P"))),""))))))</f>
        <v/>
      </c>
      <c r="Q17" s="24">
        <f>IF(Q$13="","",IF('設定'!$B$11="","",IF(COUNTIFS(LeaveName,'設定'!$B$11,LeaveType,"AL",LeaveDate,"&gt;="&amp;Q$13,LeaveDate,"&lt;"&amp;Q$13+7)&gt;0,"AL",IF(COUNTIFS(LeaveName,'設定'!$B$11,LeaveType,"SL",LeaveDate,"&gt;="&amp;Q$13,LeaveDate,"&lt;"&amp;Q$13+7)&gt;0,"SL",IF('設定'!$C$11="S","S",IF('設定'!$C$11="R",IF(MOD(INT((Q$13-'設定'!$B$4)/7)+IF('設定'!$D$11="",0,'設定'!$D$11),16)&lt;4,"A",IF(MOD(INT((Q$13-'設定'!$B$4)/7)+IF('設定'!$D$11="",0,'設定'!$D$11),16)&lt;8,"P",IF(MOD(INT((Q$13-'設定'!$B$4)/7)+IF('設定'!$D$11="",0,'設定'!$D$11),16)&lt;12,"N","P"))),""))))))</f>
        <v/>
      </c>
      <c r="R17" s="24">
        <f>IF(R$13="","",IF('設定'!$B$11="","",IF(COUNTIFS(LeaveName,'設定'!$B$11,LeaveType,"AL",LeaveDate,"&gt;="&amp;R$13,LeaveDate,"&lt;"&amp;R$13+7)&gt;0,"AL",IF(COUNTIFS(LeaveName,'設定'!$B$11,LeaveType,"SL",LeaveDate,"&gt;="&amp;R$13,LeaveDate,"&lt;"&amp;R$13+7)&gt;0,"SL",IF('設定'!$C$11="S","S",IF('設定'!$C$11="R",IF(MOD(INT((R$13-'設定'!$B$4)/7)+IF('設定'!$D$11="",0,'設定'!$D$11),16)&lt;4,"A",IF(MOD(INT((R$13-'設定'!$B$4)/7)+IF('設定'!$D$11="",0,'設定'!$D$11),16)&lt;8,"P",IF(MOD(INT((R$13-'設定'!$B$4)/7)+IF('設定'!$D$11="",0,'設定'!$D$11),16)&lt;12,"N","P"))),""))))))</f>
        <v/>
      </c>
      <c r="S17" s="24">
        <f>IF(S$13="","",IF('設定'!$B$11="","",IF(COUNTIFS(LeaveName,'設定'!$B$11,LeaveType,"AL",LeaveDate,"&gt;="&amp;S$13,LeaveDate,"&lt;"&amp;S$13+7)&gt;0,"AL",IF(COUNTIFS(LeaveName,'設定'!$B$11,LeaveType,"SL",LeaveDate,"&gt;="&amp;S$13,LeaveDate,"&lt;"&amp;S$13+7)&gt;0,"SL",IF('設定'!$C$11="S","S",IF('設定'!$C$11="R",IF(MOD(INT((S$13-'設定'!$B$4)/7)+IF('設定'!$D$11="",0,'設定'!$D$11),16)&lt;4,"A",IF(MOD(INT((S$13-'設定'!$B$4)/7)+IF('設定'!$D$11="",0,'設定'!$D$11),16)&lt;8,"P",IF(MOD(INT((S$13-'設定'!$B$4)/7)+IF('設定'!$D$11="",0,'設定'!$D$11),16)&lt;12,"N","P"))),""))))))</f>
        <v/>
      </c>
      <c r="T17" s="24">
        <f>IF(T$13="","",IF('設定'!$B$11="","",IF(COUNTIFS(LeaveName,'設定'!$B$11,LeaveType,"AL",LeaveDate,"&gt;="&amp;T$13,LeaveDate,"&lt;"&amp;T$13+7)&gt;0,"AL",IF(COUNTIFS(LeaveName,'設定'!$B$11,LeaveType,"SL",LeaveDate,"&gt;="&amp;T$13,LeaveDate,"&lt;"&amp;T$13+7)&gt;0,"SL",IF('設定'!$C$11="S","S",IF('設定'!$C$11="R",IF(MOD(INT((T$13-'設定'!$B$4)/7)+IF('設定'!$D$11="",0,'設定'!$D$11),16)&lt;4,"A",IF(MOD(INT((T$13-'設定'!$B$4)/7)+IF('設定'!$D$11="",0,'設定'!$D$11),16)&lt;8,"P",IF(MOD(INT((T$13-'設定'!$B$4)/7)+IF('設定'!$D$11="",0,'設定'!$D$11),16)&lt;12,"N","P"))),""))))))</f>
        <v/>
      </c>
      <c r="U17" s="24">
        <f>IF(U$13="","",IF('設定'!$B$11="","",IF(COUNTIFS(LeaveName,'設定'!$B$11,LeaveType,"AL",LeaveDate,"&gt;="&amp;U$13,LeaveDate,"&lt;"&amp;U$13+7)&gt;0,"AL",IF(COUNTIFS(LeaveName,'設定'!$B$11,LeaveType,"SL",LeaveDate,"&gt;="&amp;U$13,LeaveDate,"&lt;"&amp;U$13+7)&gt;0,"SL",IF('設定'!$C$11="S","S",IF('設定'!$C$11="R",IF(MOD(INT((U$13-'設定'!$B$4)/7)+IF('設定'!$D$11="",0,'設定'!$D$11),16)&lt;4,"A",IF(MOD(INT((U$13-'設定'!$B$4)/7)+IF('設定'!$D$11="",0,'設定'!$D$11),16)&lt;8,"P",IF(MOD(INT((U$13-'設定'!$B$4)/7)+IF('設定'!$D$11="",0,'設定'!$D$11),16)&lt;12,"N","P"))),""))))))</f>
        <v/>
      </c>
      <c r="V17" s="24">
        <f>IF(V$13="","",IF('設定'!$B$11="","",IF(COUNTIFS(LeaveName,'設定'!$B$11,LeaveType,"AL",LeaveDate,"&gt;="&amp;V$13,LeaveDate,"&lt;"&amp;V$13+7)&gt;0,"AL",IF(COUNTIFS(LeaveName,'設定'!$B$11,LeaveType,"SL",LeaveDate,"&gt;="&amp;V$13,LeaveDate,"&lt;"&amp;V$13+7)&gt;0,"SL",IF('設定'!$C$11="S","S",IF('設定'!$C$11="R",IF(MOD(INT((V$13-'設定'!$B$4)/7)+IF('設定'!$D$11="",0,'設定'!$D$11),16)&lt;4,"A",IF(MOD(INT((V$13-'設定'!$B$4)/7)+IF('設定'!$D$11="",0,'設定'!$D$11),16)&lt;8,"P",IF(MOD(INT((V$13-'設定'!$B$4)/7)+IF('設定'!$D$11="",0,'設定'!$D$11),16)&lt;12,"N","P"))),""))))))</f>
        <v/>
      </c>
      <c r="W17" s="24">
        <f>IF(W$13="","",IF('設定'!$B$11="","",IF(COUNTIFS(LeaveName,'設定'!$B$11,LeaveType,"AL",LeaveDate,"&gt;="&amp;W$13,LeaveDate,"&lt;"&amp;W$13+7)&gt;0,"AL",IF(COUNTIFS(LeaveName,'設定'!$B$11,LeaveType,"SL",LeaveDate,"&gt;="&amp;W$13,LeaveDate,"&lt;"&amp;W$13+7)&gt;0,"SL",IF('設定'!$C$11="S","S",IF('設定'!$C$11="R",IF(MOD(INT((W$13-'設定'!$B$4)/7)+IF('設定'!$D$11="",0,'設定'!$D$11),16)&lt;4,"A",IF(MOD(INT((W$13-'設定'!$B$4)/7)+IF('設定'!$D$11="",0,'設定'!$D$11),16)&lt;8,"P",IF(MOD(INT((W$13-'設定'!$B$4)/7)+IF('設定'!$D$11="",0,'設定'!$D$11),16)&lt;12,"N","P"))),""))))))</f>
        <v/>
      </c>
      <c r="X17" s="24">
        <f>IF(X$13="","",IF('設定'!$B$11="","",IF(COUNTIFS(LeaveName,'設定'!$B$11,LeaveType,"AL",LeaveDate,"&gt;="&amp;X$13,LeaveDate,"&lt;"&amp;X$13+7)&gt;0,"AL",IF(COUNTIFS(LeaveName,'設定'!$B$11,LeaveType,"SL",LeaveDate,"&gt;="&amp;X$13,LeaveDate,"&lt;"&amp;X$13+7)&gt;0,"SL",IF('設定'!$C$11="S","S",IF('設定'!$C$11="R",IF(MOD(INT((X$13-'設定'!$B$4)/7)+IF('設定'!$D$11="",0,'設定'!$D$11),16)&lt;4,"A",IF(MOD(INT((X$13-'設定'!$B$4)/7)+IF('設定'!$D$11="",0,'設定'!$D$11),16)&lt;8,"P",IF(MOD(INT((X$13-'設定'!$B$4)/7)+IF('設定'!$D$11="",0,'設定'!$D$11),16)&lt;12,"N","P"))),""))))))</f>
        <v/>
      </c>
      <c r="Y17" s="24">
        <f>IF(Y$13="","",IF('設定'!$B$11="","",IF(COUNTIFS(LeaveName,'設定'!$B$11,LeaveType,"AL",LeaveDate,"&gt;="&amp;Y$13,LeaveDate,"&lt;"&amp;Y$13+7)&gt;0,"AL",IF(COUNTIFS(LeaveName,'設定'!$B$11,LeaveType,"SL",LeaveDate,"&gt;="&amp;Y$13,LeaveDate,"&lt;"&amp;Y$13+7)&gt;0,"SL",IF('設定'!$C$11="S","S",IF('設定'!$C$11="R",IF(MOD(INT((Y$13-'設定'!$B$4)/7)+IF('設定'!$D$11="",0,'設定'!$D$11),16)&lt;4,"A",IF(MOD(INT((Y$13-'設定'!$B$4)/7)+IF('設定'!$D$11="",0,'設定'!$D$11),16)&lt;8,"P",IF(MOD(INT((Y$13-'設定'!$B$4)/7)+IF('設定'!$D$11="",0,'設定'!$D$11),16)&lt;12,"N","P"))),""))))))</f>
        <v/>
      </c>
      <c r="Z17" s="24">
        <f>IF(Z$13="","",IF('設定'!$B$11="","",IF(COUNTIFS(LeaveName,'設定'!$B$11,LeaveType,"AL",LeaveDate,"&gt;="&amp;Z$13,LeaveDate,"&lt;"&amp;Z$13+7)&gt;0,"AL",IF(COUNTIFS(LeaveName,'設定'!$B$11,LeaveType,"SL",LeaveDate,"&gt;="&amp;Z$13,LeaveDate,"&lt;"&amp;Z$13+7)&gt;0,"SL",IF('設定'!$C$11="S","S",IF('設定'!$C$11="R",IF(MOD(INT((Z$13-'設定'!$B$4)/7)+IF('設定'!$D$11="",0,'設定'!$D$11),16)&lt;4,"A",IF(MOD(INT((Z$13-'設定'!$B$4)/7)+IF('設定'!$D$11="",0,'設定'!$D$11),16)&lt;8,"P",IF(MOD(INT((Z$13-'設定'!$B$4)/7)+IF('設定'!$D$11="",0,'設定'!$D$11),16)&lt;12,"N","P"))),""))))))</f>
        <v/>
      </c>
      <c r="AA17" s="24">
        <f>IF(AA$13="","",IF('設定'!$B$11="","",IF(COUNTIFS(LeaveName,'設定'!$B$11,LeaveType,"AL",LeaveDate,"&gt;="&amp;AA$13,LeaveDate,"&lt;"&amp;AA$13+7)&gt;0,"AL",IF(COUNTIFS(LeaveName,'設定'!$B$11,LeaveType,"SL",LeaveDate,"&gt;="&amp;AA$13,LeaveDate,"&lt;"&amp;AA$13+7)&gt;0,"SL",IF('設定'!$C$11="S","S",IF('設定'!$C$11="R",IF(MOD(INT((AA$13-'設定'!$B$4)/7)+IF('設定'!$D$11="",0,'設定'!$D$11),16)&lt;4,"A",IF(MOD(INT((AA$13-'設定'!$B$4)/7)+IF('設定'!$D$11="",0,'設定'!$D$11),16)&lt;8,"P",IF(MOD(INT((AA$13-'設定'!$B$4)/7)+IF('設定'!$D$11="",0,'設定'!$D$11),16)&lt;12,"N","P"))),""))))))</f>
        <v/>
      </c>
      <c r="AB17" s="24">
        <f>IF(AB$13="","",IF('設定'!$B$11="","",IF(COUNTIFS(LeaveName,'設定'!$B$11,LeaveType,"AL",LeaveDate,"&gt;="&amp;AB$13,LeaveDate,"&lt;"&amp;AB$13+7)&gt;0,"AL",IF(COUNTIFS(LeaveName,'設定'!$B$11,LeaveType,"SL",LeaveDate,"&gt;="&amp;AB$13,LeaveDate,"&lt;"&amp;AB$13+7)&gt;0,"SL",IF('設定'!$C$11="S","S",IF('設定'!$C$11="R",IF(MOD(INT((AB$13-'設定'!$B$4)/7)+IF('設定'!$D$11="",0,'設定'!$D$11),16)&lt;4,"A",IF(MOD(INT((AB$13-'設定'!$B$4)/7)+IF('設定'!$D$11="",0,'設定'!$D$11),16)&lt;8,"P",IF(MOD(INT((AB$13-'設定'!$B$4)/7)+IF('設定'!$D$11="",0,'設定'!$D$11),16)&lt;12,"N","P"))),""))))))</f>
        <v/>
      </c>
      <c r="AC17" s="24">
        <f>IF(AC$13="","",IF('設定'!$B$11="","",IF(COUNTIFS(LeaveName,'設定'!$B$11,LeaveType,"AL",LeaveDate,"&gt;="&amp;AC$13,LeaveDate,"&lt;"&amp;AC$13+7)&gt;0,"AL",IF(COUNTIFS(LeaveName,'設定'!$B$11,LeaveType,"SL",LeaveDate,"&gt;="&amp;AC$13,LeaveDate,"&lt;"&amp;AC$13+7)&gt;0,"SL",IF('設定'!$C$11="S","S",IF('設定'!$C$11="R",IF(MOD(INT((AC$13-'設定'!$B$4)/7)+IF('設定'!$D$11="",0,'設定'!$D$11),16)&lt;4,"A",IF(MOD(INT((AC$13-'設定'!$B$4)/7)+IF('設定'!$D$11="",0,'設定'!$D$11),16)&lt;8,"P",IF(MOD(INT((AC$13-'設定'!$B$4)/7)+IF('設定'!$D$11="",0,'設定'!$D$11),16)&lt;12,"N","P"))),""))))))</f>
        <v/>
      </c>
      <c r="AD17" s="24">
        <f>IF(AD$13="","",IF('設定'!$B$11="","",IF(COUNTIFS(LeaveName,'設定'!$B$11,LeaveType,"AL",LeaveDate,"&gt;="&amp;AD$13,LeaveDate,"&lt;"&amp;AD$13+7)&gt;0,"AL",IF(COUNTIFS(LeaveName,'設定'!$B$11,LeaveType,"SL",LeaveDate,"&gt;="&amp;AD$13,LeaveDate,"&lt;"&amp;AD$13+7)&gt;0,"SL",IF('設定'!$C$11="S","S",IF('設定'!$C$11="R",IF(MOD(INT((AD$13-'設定'!$B$4)/7)+IF('設定'!$D$11="",0,'設定'!$D$11),16)&lt;4,"A",IF(MOD(INT((AD$13-'設定'!$B$4)/7)+IF('設定'!$D$11="",0,'設定'!$D$11),16)&lt;8,"P",IF(MOD(INT((AD$13-'設定'!$B$4)/7)+IF('設定'!$D$11="",0,'設定'!$D$11),16)&lt;12,"N","P"))),""))))))</f>
        <v/>
      </c>
      <c r="AE17" s="24">
        <f>IF(AE$13="","",IF('設定'!$B$11="","",IF(COUNTIFS(LeaveName,'設定'!$B$11,LeaveType,"AL",LeaveDate,"&gt;="&amp;AE$13,LeaveDate,"&lt;"&amp;AE$13+7)&gt;0,"AL",IF(COUNTIFS(LeaveName,'設定'!$B$11,LeaveType,"SL",LeaveDate,"&gt;="&amp;AE$13,LeaveDate,"&lt;"&amp;AE$13+7)&gt;0,"SL",IF('設定'!$C$11="S","S",IF('設定'!$C$11="R",IF(MOD(INT((AE$13-'設定'!$B$4)/7)+IF('設定'!$D$11="",0,'設定'!$D$11),16)&lt;4,"A",IF(MOD(INT((AE$13-'設定'!$B$4)/7)+IF('設定'!$D$11="",0,'設定'!$D$11),16)&lt;8,"P",IF(MOD(INT((AE$13-'設定'!$B$4)/7)+IF('設定'!$D$11="",0,'設定'!$D$11),16)&lt;12,"N","P"))),""))))))</f>
        <v/>
      </c>
      <c r="AF17" s="24">
        <f>IF(AF$13="","",IF('設定'!$B$11="","",IF(COUNTIFS(LeaveName,'設定'!$B$11,LeaveType,"AL",LeaveDate,"&gt;="&amp;AF$13,LeaveDate,"&lt;"&amp;AF$13+7)&gt;0,"AL",IF(COUNTIFS(LeaveName,'設定'!$B$11,LeaveType,"SL",LeaveDate,"&gt;="&amp;AF$13,LeaveDate,"&lt;"&amp;AF$13+7)&gt;0,"SL",IF('設定'!$C$11="S","S",IF('設定'!$C$11="R",IF(MOD(INT((AF$13-'設定'!$B$4)/7)+IF('設定'!$D$11="",0,'設定'!$D$11),16)&lt;4,"A",IF(MOD(INT((AF$13-'設定'!$B$4)/7)+IF('設定'!$D$11="",0,'設定'!$D$11),16)&lt;8,"P",IF(MOD(INT((AF$13-'設定'!$B$4)/7)+IF('設定'!$D$11="",0,'設定'!$D$11),16)&lt;12,"N","P"))),""))))))</f>
        <v/>
      </c>
      <c r="AG17" s="24">
        <f>IF(AG$13="","",IF('設定'!$B$11="","",IF(COUNTIFS(LeaveName,'設定'!$B$11,LeaveType,"AL",LeaveDate,"&gt;="&amp;AG$13,LeaveDate,"&lt;"&amp;AG$13+7)&gt;0,"AL",IF(COUNTIFS(LeaveName,'設定'!$B$11,LeaveType,"SL",LeaveDate,"&gt;="&amp;AG$13,LeaveDate,"&lt;"&amp;AG$13+7)&gt;0,"SL",IF('設定'!$C$11="S","S",IF('設定'!$C$11="R",IF(MOD(INT((AG$13-'設定'!$B$4)/7)+IF('設定'!$D$11="",0,'設定'!$D$11),16)&lt;4,"A",IF(MOD(INT((AG$13-'設定'!$B$4)/7)+IF('設定'!$D$11="",0,'設定'!$D$11),16)&lt;8,"P",IF(MOD(INT((AG$13-'設定'!$B$4)/7)+IF('設定'!$D$11="",0,'設定'!$D$11),16)&lt;12,"N","P"))),""))))))</f>
        <v/>
      </c>
      <c r="AH17" s="24">
        <f>IF(AH$13="","",IF('設定'!$B$11="","",IF(COUNTIFS(LeaveName,'設定'!$B$11,LeaveType,"AL",LeaveDate,"&gt;="&amp;AH$13,LeaveDate,"&lt;"&amp;AH$13+7)&gt;0,"AL",IF(COUNTIFS(LeaveName,'設定'!$B$11,LeaveType,"SL",LeaveDate,"&gt;="&amp;AH$13,LeaveDate,"&lt;"&amp;AH$13+7)&gt;0,"SL",IF('設定'!$C$11="S","S",IF('設定'!$C$11="R",IF(MOD(INT((AH$13-'設定'!$B$4)/7)+IF('設定'!$D$11="",0,'設定'!$D$11),16)&lt;4,"A",IF(MOD(INT((AH$13-'設定'!$B$4)/7)+IF('設定'!$D$11="",0,'設定'!$D$11),16)&lt;8,"P",IF(MOD(INT((AH$13-'設定'!$B$4)/7)+IF('設定'!$D$11="",0,'設定'!$D$11),16)&lt;12,"N","P"))),""))))))</f>
        <v/>
      </c>
      <c r="AI17" s="24">
        <f>IF(AI$13="","",IF('設定'!$B$11="","",IF(COUNTIFS(LeaveName,'設定'!$B$11,LeaveType,"AL",LeaveDate,"&gt;="&amp;AI$13,LeaveDate,"&lt;"&amp;AI$13+7)&gt;0,"AL",IF(COUNTIFS(LeaveName,'設定'!$B$11,LeaveType,"SL",LeaveDate,"&gt;="&amp;AI$13,LeaveDate,"&lt;"&amp;AI$13+7)&gt;0,"SL",IF('設定'!$C$11="S","S",IF('設定'!$C$11="R",IF(MOD(INT((AI$13-'設定'!$B$4)/7)+IF('設定'!$D$11="",0,'設定'!$D$11),16)&lt;4,"A",IF(MOD(INT((AI$13-'設定'!$B$4)/7)+IF('設定'!$D$11="",0,'設定'!$D$11),16)&lt;8,"P",IF(MOD(INT((AI$13-'設定'!$B$4)/7)+IF('設定'!$D$11="",0,'設定'!$D$11),16)&lt;12,"N","P"))),""))))))</f>
        <v/>
      </c>
      <c r="AJ17" s="24">
        <f>IF(AJ$13="","",IF('設定'!$B$11="","",IF(COUNTIFS(LeaveName,'設定'!$B$11,LeaveType,"AL",LeaveDate,"&gt;="&amp;AJ$13,LeaveDate,"&lt;"&amp;AJ$13+7)&gt;0,"AL",IF(COUNTIFS(LeaveName,'設定'!$B$11,LeaveType,"SL",LeaveDate,"&gt;="&amp;AJ$13,LeaveDate,"&lt;"&amp;AJ$13+7)&gt;0,"SL",IF('設定'!$C$11="S","S",IF('設定'!$C$11="R",IF(MOD(INT((AJ$13-'設定'!$B$4)/7)+IF('設定'!$D$11="",0,'設定'!$D$11),16)&lt;4,"A",IF(MOD(INT((AJ$13-'設定'!$B$4)/7)+IF('設定'!$D$11="",0,'設定'!$D$11),16)&lt;8,"P",IF(MOD(INT((AJ$13-'設定'!$B$4)/7)+IF('設定'!$D$11="",0,'設定'!$D$11),16)&lt;12,"N","P"))),""))))))</f>
        <v/>
      </c>
      <c r="AK17" s="24">
        <f>IF(AK$13="","",IF('設定'!$B$11="","",IF(COUNTIFS(LeaveName,'設定'!$B$11,LeaveType,"AL",LeaveDate,"&gt;="&amp;AK$13,LeaveDate,"&lt;"&amp;AK$13+7)&gt;0,"AL",IF(COUNTIFS(LeaveName,'設定'!$B$11,LeaveType,"SL",LeaveDate,"&gt;="&amp;AK$13,LeaveDate,"&lt;"&amp;AK$13+7)&gt;0,"SL",IF('設定'!$C$11="S","S",IF('設定'!$C$11="R",IF(MOD(INT((AK$13-'設定'!$B$4)/7)+IF('設定'!$D$11="",0,'設定'!$D$11),16)&lt;4,"A",IF(MOD(INT((AK$13-'設定'!$B$4)/7)+IF('設定'!$D$11="",0,'設定'!$D$11),16)&lt;8,"P",IF(MOD(INT((AK$13-'設定'!$B$4)/7)+IF('設定'!$D$11="",0,'設定'!$D$11),16)&lt;12,"N","P"))),""))))))</f>
        <v/>
      </c>
      <c r="AL17" s="24">
        <f>IF(AL$13="","",IF('設定'!$B$11="","",IF(COUNTIFS(LeaveName,'設定'!$B$11,LeaveType,"AL",LeaveDate,"&gt;="&amp;AL$13,LeaveDate,"&lt;"&amp;AL$13+7)&gt;0,"AL",IF(COUNTIFS(LeaveName,'設定'!$B$11,LeaveType,"SL",LeaveDate,"&gt;="&amp;AL$13,LeaveDate,"&lt;"&amp;AL$13+7)&gt;0,"SL",IF('設定'!$C$11="S","S",IF('設定'!$C$11="R",IF(MOD(INT((AL$13-'設定'!$B$4)/7)+IF('設定'!$D$11="",0,'設定'!$D$11),16)&lt;4,"A",IF(MOD(INT((AL$13-'設定'!$B$4)/7)+IF('設定'!$D$11="",0,'設定'!$D$11),16)&lt;8,"P",IF(MOD(INT((AL$13-'設定'!$B$4)/7)+IF('設定'!$D$11="",0,'設定'!$D$11),16)&lt;12,"N","P"))),""))))))</f>
        <v/>
      </c>
      <c r="AM17" s="24">
        <f>IF(AM$13="","",IF('設定'!$B$11="","",IF(COUNTIFS(LeaveName,'設定'!$B$11,LeaveType,"AL",LeaveDate,"&gt;="&amp;AM$13,LeaveDate,"&lt;"&amp;AM$13+7)&gt;0,"AL",IF(COUNTIFS(LeaveName,'設定'!$B$11,LeaveType,"SL",LeaveDate,"&gt;="&amp;AM$13,LeaveDate,"&lt;"&amp;AM$13+7)&gt;0,"SL",IF('設定'!$C$11="S","S",IF('設定'!$C$11="R",IF(MOD(INT((AM$13-'設定'!$B$4)/7)+IF('設定'!$D$11="",0,'設定'!$D$11),16)&lt;4,"A",IF(MOD(INT((AM$13-'設定'!$B$4)/7)+IF('設定'!$D$11="",0,'設定'!$D$11),16)&lt;8,"P",IF(MOD(INT((AM$13-'設定'!$B$4)/7)+IF('設定'!$D$11="",0,'設定'!$D$11),16)&lt;12,"N","P"))),""))))))</f>
        <v/>
      </c>
      <c r="AN17" s="24">
        <f>IF(AN$13="","",IF('設定'!$B$11="","",IF(COUNTIFS(LeaveName,'設定'!$B$11,LeaveType,"AL",LeaveDate,"&gt;="&amp;AN$13,LeaveDate,"&lt;"&amp;AN$13+7)&gt;0,"AL",IF(COUNTIFS(LeaveName,'設定'!$B$11,LeaveType,"SL",LeaveDate,"&gt;="&amp;AN$13,LeaveDate,"&lt;"&amp;AN$13+7)&gt;0,"SL",IF('設定'!$C$11="S","S",IF('設定'!$C$11="R",IF(MOD(INT((AN$13-'設定'!$B$4)/7)+IF('設定'!$D$11="",0,'設定'!$D$11),16)&lt;4,"A",IF(MOD(INT((AN$13-'設定'!$B$4)/7)+IF('設定'!$D$11="",0,'設定'!$D$11),16)&lt;8,"P",IF(MOD(INT((AN$13-'設定'!$B$4)/7)+IF('設定'!$D$11="",0,'設定'!$D$11),16)&lt;12,"N","P"))),""))))))</f>
        <v/>
      </c>
      <c r="AO17" s="24">
        <f>IF(AO$13="","",IF('設定'!$B$11="","",IF(COUNTIFS(LeaveName,'設定'!$B$11,LeaveType,"AL",LeaveDate,"&gt;="&amp;AO$13,LeaveDate,"&lt;"&amp;AO$13+7)&gt;0,"AL",IF(COUNTIFS(LeaveName,'設定'!$B$11,LeaveType,"SL",LeaveDate,"&gt;="&amp;AO$13,LeaveDate,"&lt;"&amp;AO$13+7)&gt;0,"SL",IF('設定'!$C$11="S","S",IF('設定'!$C$11="R",IF(MOD(INT((AO$13-'設定'!$B$4)/7)+IF('設定'!$D$11="",0,'設定'!$D$11),16)&lt;4,"A",IF(MOD(INT((AO$13-'設定'!$B$4)/7)+IF('設定'!$D$11="",0,'設定'!$D$11),16)&lt;8,"P",IF(MOD(INT((AO$13-'設定'!$B$4)/7)+IF('設定'!$D$11="",0,'設定'!$D$11),16)&lt;12,"N","P"))),""))))))</f>
        <v/>
      </c>
      <c r="AP17" s="24">
        <f>IF(AP$13="","",IF('設定'!$B$11="","",IF(COUNTIFS(LeaveName,'設定'!$B$11,LeaveType,"AL",LeaveDate,"&gt;="&amp;AP$13,LeaveDate,"&lt;"&amp;AP$13+7)&gt;0,"AL",IF(COUNTIFS(LeaveName,'設定'!$B$11,LeaveType,"SL",LeaveDate,"&gt;="&amp;AP$13,LeaveDate,"&lt;"&amp;AP$13+7)&gt;0,"SL",IF('設定'!$C$11="S","S",IF('設定'!$C$11="R",IF(MOD(INT((AP$13-'設定'!$B$4)/7)+IF('設定'!$D$11="",0,'設定'!$D$11),16)&lt;4,"A",IF(MOD(INT((AP$13-'設定'!$B$4)/7)+IF('設定'!$D$11="",0,'設定'!$D$11),16)&lt;8,"P",IF(MOD(INT((AP$13-'設定'!$B$4)/7)+IF('設定'!$D$11="",0,'設定'!$D$11),16)&lt;12,"N","P"))),""))))))</f>
        <v/>
      </c>
      <c r="AQ17" s="24">
        <f>IF(AQ$13="","",IF('設定'!$B$11="","",IF(COUNTIFS(LeaveName,'設定'!$B$11,LeaveType,"AL",LeaveDate,"&gt;="&amp;AQ$13,LeaveDate,"&lt;"&amp;AQ$13+7)&gt;0,"AL",IF(COUNTIFS(LeaveName,'設定'!$B$11,LeaveType,"SL",LeaveDate,"&gt;="&amp;AQ$13,LeaveDate,"&lt;"&amp;AQ$13+7)&gt;0,"SL",IF('設定'!$C$11="S","S",IF('設定'!$C$11="R",IF(MOD(INT((AQ$13-'設定'!$B$4)/7)+IF('設定'!$D$11="",0,'設定'!$D$11),16)&lt;4,"A",IF(MOD(INT((AQ$13-'設定'!$B$4)/7)+IF('設定'!$D$11="",0,'設定'!$D$11),16)&lt;8,"P",IF(MOD(INT((AQ$13-'設定'!$B$4)/7)+IF('設定'!$D$11="",0,'設定'!$D$11),16)&lt;12,"N","P"))),""))))))</f>
        <v/>
      </c>
      <c r="AR17" s="24">
        <f>IF(AR$13="","",IF('設定'!$B$11="","",IF(COUNTIFS(LeaveName,'設定'!$B$11,LeaveType,"AL",LeaveDate,"&gt;="&amp;AR$13,LeaveDate,"&lt;"&amp;AR$13+7)&gt;0,"AL",IF(COUNTIFS(LeaveName,'設定'!$B$11,LeaveType,"SL",LeaveDate,"&gt;="&amp;AR$13,LeaveDate,"&lt;"&amp;AR$13+7)&gt;0,"SL",IF('設定'!$C$11="S","S",IF('設定'!$C$11="R",IF(MOD(INT((AR$13-'設定'!$B$4)/7)+IF('設定'!$D$11="",0,'設定'!$D$11),16)&lt;4,"A",IF(MOD(INT((AR$13-'設定'!$B$4)/7)+IF('設定'!$D$11="",0,'設定'!$D$11),16)&lt;8,"P",IF(MOD(INT((AR$13-'設定'!$B$4)/7)+IF('設定'!$D$11="",0,'設定'!$D$11),16)&lt;12,"N","P"))),""))))))</f>
        <v/>
      </c>
      <c r="AS17" s="24">
        <f>IF(AS$13="","",IF('設定'!$B$11="","",IF(COUNTIFS(LeaveName,'設定'!$B$11,LeaveType,"AL",LeaveDate,"&gt;="&amp;AS$13,LeaveDate,"&lt;"&amp;AS$13+7)&gt;0,"AL",IF(COUNTIFS(LeaveName,'設定'!$B$11,LeaveType,"SL",LeaveDate,"&gt;="&amp;AS$13,LeaveDate,"&lt;"&amp;AS$13+7)&gt;0,"SL",IF('設定'!$C$11="S","S",IF('設定'!$C$11="R",IF(MOD(INT((AS$13-'設定'!$B$4)/7)+IF('設定'!$D$11="",0,'設定'!$D$11),16)&lt;4,"A",IF(MOD(INT((AS$13-'設定'!$B$4)/7)+IF('設定'!$D$11="",0,'設定'!$D$11),16)&lt;8,"P",IF(MOD(INT((AS$13-'設定'!$B$4)/7)+IF('設定'!$D$11="",0,'設定'!$D$11),16)&lt;12,"N","P"))),""))))))</f>
        <v/>
      </c>
      <c r="AT17" s="24">
        <f>IF(AT$13="","",IF('設定'!$B$11="","",IF(COUNTIFS(LeaveName,'設定'!$B$11,LeaveType,"AL",LeaveDate,"&gt;="&amp;AT$13,LeaveDate,"&lt;"&amp;AT$13+7)&gt;0,"AL",IF(COUNTIFS(LeaveName,'設定'!$B$11,LeaveType,"SL",LeaveDate,"&gt;="&amp;AT$13,LeaveDate,"&lt;"&amp;AT$13+7)&gt;0,"SL",IF('設定'!$C$11="S","S",IF('設定'!$C$11="R",IF(MOD(INT((AT$13-'設定'!$B$4)/7)+IF('設定'!$D$11="",0,'設定'!$D$11),16)&lt;4,"A",IF(MOD(INT((AT$13-'設定'!$B$4)/7)+IF('設定'!$D$11="",0,'設定'!$D$11),16)&lt;8,"P",IF(MOD(INT((AT$13-'設定'!$B$4)/7)+IF('設定'!$D$11="",0,'設定'!$D$11),16)&lt;12,"N","P"))),""))))))</f>
        <v/>
      </c>
      <c r="AU17" s="24">
        <f>IF(AU$13="","",IF('設定'!$B$11="","",IF(COUNTIFS(LeaveName,'設定'!$B$11,LeaveType,"AL",LeaveDate,"&gt;="&amp;AU$13,LeaveDate,"&lt;"&amp;AU$13+7)&gt;0,"AL",IF(COUNTIFS(LeaveName,'設定'!$B$11,LeaveType,"SL",LeaveDate,"&gt;="&amp;AU$13,LeaveDate,"&lt;"&amp;AU$13+7)&gt;0,"SL",IF('設定'!$C$11="S","S",IF('設定'!$C$11="R",IF(MOD(INT((AU$13-'設定'!$B$4)/7)+IF('設定'!$D$11="",0,'設定'!$D$11),16)&lt;4,"A",IF(MOD(INT((AU$13-'設定'!$B$4)/7)+IF('設定'!$D$11="",0,'設定'!$D$11),16)&lt;8,"P",IF(MOD(INT((AU$13-'設定'!$B$4)/7)+IF('設定'!$D$11="",0,'設定'!$D$11),16)&lt;12,"N","P"))),""))))))</f>
        <v/>
      </c>
      <c r="AV17" s="24">
        <f>IF(AV$13="","",IF('設定'!$B$11="","",IF(COUNTIFS(LeaveName,'設定'!$B$11,LeaveType,"AL",LeaveDate,"&gt;="&amp;AV$13,LeaveDate,"&lt;"&amp;AV$13+7)&gt;0,"AL",IF(COUNTIFS(LeaveName,'設定'!$B$11,LeaveType,"SL",LeaveDate,"&gt;="&amp;AV$13,LeaveDate,"&lt;"&amp;AV$13+7)&gt;0,"SL",IF('設定'!$C$11="S","S",IF('設定'!$C$11="R",IF(MOD(INT((AV$13-'設定'!$B$4)/7)+IF('設定'!$D$11="",0,'設定'!$D$11),16)&lt;4,"A",IF(MOD(INT((AV$13-'設定'!$B$4)/7)+IF('設定'!$D$11="",0,'設定'!$D$11),16)&lt;8,"P",IF(MOD(INT((AV$13-'設定'!$B$4)/7)+IF('設定'!$D$11="",0,'設定'!$D$11),16)&lt;12,"N","P"))),""))))))</f>
        <v/>
      </c>
      <c r="AW17" s="24">
        <f>IF(AW$13="","",IF('設定'!$B$11="","",IF(COUNTIFS(LeaveName,'設定'!$B$11,LeaveType,"AL",LeaveDate,"&gt;="&amp;AW$13,LeaveDate,"&lt;"&amp;AW$13+7)&gt;0,"AL",IF(COUNTIFS(LeaveName,'設定'!$B$11,LeaveType,"SL",LeaveDate,"&gt;="&amp;AW$13,LeaveDate,"&lt;"&amp;AW$13+7)&gt;0,"SL",IF('設定'!$C$11="S","S",IF('設定'!$C$11="R",IF(MOD(INT((AW$13-'設定'!$B$4)/7)+IF('設定'!$D$11="",0,'設定'!$D$11),16)&lt;4,"A",IF(MOD(INT((AW$13-'設定'!$B$4)/7)+IF('設定'!$D$11="",0,'設定'!$D$11),16)&lt;8,"P",IF(MOD(INT((AW$13-'設定'!$B$4)/7)+IF('設定'!$D$11="",0,'設定'!$D$11),16)&lt;12,"N","P"))),""))))))</f>
        <v/>
      </c>
      <c r="AX17" s="24">
        <f>IF(AX$13="","",IF('設定'!$B$11="","",IF(COUNTIFS(LeaveName,'設定'!$B$11,LeaveType,"AL",LeaveDate,"&gt;="&amp;AX$13,LeaveDate,"&lt;"&amp;AX$13+7)&gt;0,"AL",IF(COUNTIFS(LeaveName,'設定'!$B$11,LeaveType,"SL",LeaveDate,"&gt;="&amp;AX$13,LeaveDate,"&lt;"&amp;AX$13+7)&gt;0,"SL",IF('設定'!$C$11="S","S",IF('設定'!$C$11="R",IF(MOD(INT((AX$13-'設定'!$B$4)/7)+IF('設定'!$D$11="",0,'設定'!$D$11),16)&lt;4,"A",IF(MOD(INT((AX$13-'設定'!$B$4)/7)+IF('設定'!$D$11="",0,'設定'!$D$11),16)&lt;8,"P",IF(MOD(INT((AX$13-'設定'!$B$4)/7)+IF('設定'!$D$11="",0,'設定'!$D$11),16)&lt;12,"N","P"))),""))))))</f>
        <v/>
      </c>
      <c r="AY17" s="24">
        <f>IF(AY$13="","",IF('設定'!$B$11="","",IF(COUNTIFS(LeaveName,'設定'!$B$11,LeaveType,"AL",LeaveDate,"&gt;="&amp;AY$13,LeaveDate,"&lt;"&amp;AY$13+7)&gt;0,"AL",IF(COUNTIFS(LeaveName,'設定'!$B$11,LeaveType,"SL",LeaveDate,"&gt;="&amp;AY$13,LeaveDate,"&lt;"&amp;AY$13+7)&gt;0,"SL",IF('設定'!$C$11="S","S",IF('設定'!$C$11="R",IF(MOD(INT((AY$13-'設定'!$B$4)/7)+IF('設定'!$D$11="",0,'設定'!$D$11),16)&lt;4,"A",IF(MOD(INT((AY$13-'設定'!$B$4)/7)+IF('設定'!$D$11="",0,'設定'!$D$11),16)&lt;8,"P",IF(MOD(INT((AY$13-'設定'!$B$4)/7)+IF('設定'!$D$11="",0,'設定'!$D$11),16)&lt;12,"N","P"))),""))))))</f>
        <v/>
      </c>
      <c r="AZ17" s="24">
        <f>IF(AZ$13="","",IF('設定'!$B$11="","",IF(COUNTIFS(LeaveName,'設定'!$B$11,LeaveType,"AL",LeaveDate,"&gt;="&amp;AZ$13,LeaveDate,"&lt;"&amp;AZ$13+7)&gt;0,"AL",IF(COUNTIFS(LeaveName,'設定'!$B$11,LeaveType,"SL",LeaveDate,"&gt;="&amp;AZ$13,LeaveDate,"&lt;"&amp;AZ$13+7)&gt;0,"SL",IF('設定'!$C$11="S","S",IF('設定'!$C$11="R",IF(MOD(INT((AZ$13-'設定'!$B$4)/7)+IF('設定'!$D$11="",0,'設定'!$D$11),16)&lt;4,"A",IF(MOD(INT((AZ$13-'設定'!$B$4)/7)+IF('設定'!$D$11="",0,'設定'!$D$11),16)&lt;8,"P",IF(MOD(INT((AZ$13-'設定'!$B$4)/7)+IF('設定'!$D$11="",0,'設定'!$D$11),16)&lt;12,"N","P"))),""))))))</f>
        <v/>
      </c>
      <c r="BA17" s="24">
        <f>IF(BA$13="","",IF('設定'!$B$11="","",IF(COUNTIFS(LeaveName,'設定'!$B$11,LeaveType,"AL",LeaveDate,"&gt;="&amp;BA$13,LeaveDate,"&lt;"&amp;BA$13+7)&gt;0,"AL",IF(COUNTIFS(LeaveName,'設定'!$B$11,LeaveType,"SL",LeaveDate,"&gt;="&amp;BA$13,LeaveDate,"&lt;"&amp;BA$13+7)&gt;0,"SL",IF('設定'!$C$11="S","S",IF('設定'!$C$11="R",IF(MOD(INT((BA$13-'設定'!$B$4)/7)+IF('設定'!$D$11="",0,'設定'!$D$11),16)&lt;4,"A",IF(MOD(INT((BA$13-'設定'!$B$4)/7)+IF('設定'!$D$11="",0,'設定'!$D$11),16)&lt;8,"P",IF(MOD(INT((BA$13-'設定'!$B$4)/7)+IF('設定'!$D$11="",0,'設定'!$D$11),16)&lt;12,"N","P"))),""))))))</f>
        <v/>
      </c>
      <c r="BB17" s="24">
        <f>IF(BB$13="","",IF('設定'!$B$11="","",IF(COUNTIFS(LeaveName,'設定'!$B$11,LeaveType,"AL",LeaveDate,"&gt;="&amp;BB$13,LeaveDate,"&lt;"&amp;BB$13+7)&gt;0,"AL",IF(COUNTIFS(LeaveName,'設定'!$B$11,LeaveType,"SL",LeaveDate,"&gt;="&amp;BB$13,LeaveDate,"&lt;"&amp;BB$13+7)&gt;0,"SL",IF('設定'!$C$11="S","S",IF('設定'!$C$11="R",IF(MOD(INT((BB$13-'設定'!$B$4)/7)+IF('設定'!$D$11="",0,'設定'!$D$11),16)&lt;4,"A",IF(MOD(INT((BB$13-'設定'!$B$4)/7)+IF('設定'!$D$11="",0,'設定'!$D$11),16)&lt;8,"P",IF(MOD(INT((BB$13-'設定'!$B$4)/7)+IF('設定'!$D$11="",0,'設定'!$D$11),16)&lt;12,"N","P"))),""))))))</f>
        <v/>
      </c>
      <c r="BC17" s="24">
        <f>IF(BC$13="","",IF('設定'!$B$11="","",IF(COUNTIFS(LeaveName,'設定'!$B$11,LeaveType,"AL",LeaveDate,"&gt;="&amp;BC$13,LeaveDate,"&lt;"&amp;BC$13+7)&gt;0,"AL",IF(COUNTIFS(LeaveName,'設定'!$B$11,LeaveType,"SL",LeaveDate,"&gt;="&amp;BC$13,LeaveDate,"&lt;"&amp;BC$13+7)&gt;0,"SL",IF('設定'!$C$11="S","S",IF('設定'!$C$11="R",IF(MOD(INT((BC$13-'設定'!$B$4)/7)+IF('設定'!$D$11="",0,'設定'!$D$11),16)&lt;4,"A",IF(MOD(INT((BC$13-'設定'!$B$4)/7)+IF('設定'!$D$11="",0,'設定'!$D$11),16)&lt;8,"P",IF(MOD(INT((BC$13-'設定'!$B$4)/7)+IF('設定'!$D$11="",0,'設定'!$D$11),16)&lt;12,"N","P"))),""))))))</f>
        <v/>
      </c>
      <c r="BD17" s="24">
        <f>IF(BD$13="","",IF('設定'!$B$11="","",IF(COUNTIFS(LeaveName,'設定'!$B$11,LeaveType,"AL",LeaveDate,"&gt;="&amp;BD$13,LeaveDate,"&lt;"&amp;BD$13+7)&gt;0,"AL",IF(COUNTIFS(LeaveName,'設定'!$B$11,LeaveType,"SL",LeaveDate,"&gt;="&amp;BD$13,LeaveDate,"&lt;"&amp;BD$13+7)&gt;0,"SL",IF('設定'!$C$11="S","S",IF('設定'!$C$11="R",IF(MOD(INT((BD$13-'設定'!$B$4)/7)+IF('設定'!$D$11="",0,'設定'!$D$11),16)&lt;4,"A",IF(MOD(INT((BD$13-'設定'!$B$4)/7)+IF('設定'!$D$11="",0,'設定'!$D$11),16)&lt;8,"P",IF(MOD(INT((BD$13-'設定'!$B$4)/7)+IF('設定'!$D$11="",0,'設定'!$D$11),16)&lt;12,"N","P"))),""))))))</f>
        <v/>
      </c>
      <c r="BE17" s="24">
        <f>IF(BE$13="","",IF('設定'!$B$11="","",IF(COUNTIFS(LeaveName,'設定'!$B$11,LeaveType,"AL",LeaveDate,"&gt;="&amp;BE$13,LeaveDate,"&lt;"&amp;BE$13+7)&gt;0,"AL",IF(COUNTIFS(LeaveName,'設定'!$B$11,LeaveType,"SL",LeaveDate,"&gt;="&amp;BE$13,LeaveDate,"&lt;"&amp;BE$13+7)&gt;0,"SL",IF('設定'!$C$11="S","S",IF('設定'!$C$11="R",IF(MOD(INT((BE$13-'設定'!$B$4)/7)+IF('設定'!$D$11="",0,'設定'!$D$11),16)&lt;4,"A",IF(MOD(INT((BE$13-'設定'!$B$4)/7)+IF('設定'!$D$11="",0,'設定'!$D$11),16)&lt;8,"P",IF(MOD(INT((BE$13-'設定'!$B$4)/7)+IF('設定'!$D$11="",0,'設定'!$D$11),16)&lt;12,"N","P"))),""))))))</f>
        <v/>
      </c>
      <c r="BF17" s="24">
        <f>IF(BF$13="","",IF('設定'!$B$11="","",IF(COUNTIFS(LeaveName,'設定'!$B$11,LeaveType,"AL",LeaveDate,"&gt;="&amp;BF$13,LeaveDate,"&lt;"&amp;BF$13+7)&gt;0,"AL",IF(COUNTIFS(LeaveName,'設定'!$B$11,LeaveType,"SL",LeaveDate,"&gt;="&amp;BF$13,LeaveDate,"&lt;"&amp;BF$13+7)&gt;0,"SL",IF('設定'!$C$11="S","S",IF('設定'!$C$11="R",IF(MOD(INT((BF$13-'設定'!$B$4)/7)+IF('設定'!$D$11="",0,'設定'!$D$11),16)&lt;4,"A",IF(MOD(INT((BF$13-'設定'!$B$4)/7)+IF('設定'!$D$11="",0,'設定'!$D$11),16)&lt;8,"P",IF(MOD(INT((BF$13-'設定'!$B$4)/7)+IF('設定'!$D$11="",0,'設定'!$D$11),16)&lt;12,"N","P"))),""))))))</f>
        <v/>
      </c>
      <c r="BG17" s="24">
        <f>IF(BG$13="","",IF('設定'!$B$11="","",IF(COUNTIFS(LeaveName,'設定'!$B$11,LeaveType,"AL",LeaveDate,"&gt;="&amp;BG$13,LeaveDate,"&lt;"&amp;BG$13+7)&gt;0,"AL",IF(COUNTIFS(LeaveName,'設定'!$B$11,LeaveType,"SL",LeaveDate,"&gt;="&amp;BG$13,LeaveDate,"&lt;"&amp;BG$13+7)&gt;0,"SL",IF('設定'!$C$11="S","S",IF('設定'!$C$11="R",IF(MOD(INT((BG$13-'設定'!$B$4)/7)+IF('設定'!$D$11="",0,'設定'!$D$11),16)&lt;4,"A",IF(MOD(INT((BG$13-'設定'!$B$4)/7)+IF('設定'!$D$11="",0,'設定'!$D$11),16)&lt;8,"P",IF(MOD(INT((BG$13-'設定'!$B$4)/7)+IF('設定'!$D$11="",0,'設定'!$D$11),16)&lt;12,"N","P"))),""))))))</f>
        <v/>
      </c>
    </row>
    <row r="18" ht="22" customHeight="1">
      <c r="A18" s="20">
        <f>'設定'!B12</f>
        <v/>
      </c>
      <c r="B18" s="23">
        <f>IF(A18="","",COUNTIFS(LeaveName,A18,LeaveType,"AL",LeaveDate,"&gt;="&amp;DATE('設定'!$B$3,1,1),LeaveDate,"&lt;="&amp;DATE('設定'!$B$3,12,31)))</f>
        <v/>
      </c>
      <c r="C18" s="23">
        <f>IF(A18="","",IF('設定'!E12="","",'設定'!E12-B18))</f>
        <v/>
      </c>
      <c r="D18" s="21">
        <f>IF(A18="","",E18+F18)</f>
        <v/>
      </c>
      <c r="E18" s="22" t="n">
        <v>0</v>
      </c>
      <c r="F18" s="23">
        <f>IF(A18="","",CompYear5)</f>
        <v/>
      </c>
      <c r="G18" s="24">
        <f>IF(G$13="","",IF('設定'!$B$12="","",IF(COUNTIFS(LeaveName,'設定'!$B$12,LeaveType,"AL",LeaveDate,"&gt;="&amp;G$13,LeaveDate,"&lt;"&amp;G$13+7)&gt;0,"AL",IF(COUNTIFS(LeaveName,'設定'!$B$12,LeaveType,"SL",LeaveDate,"&gt;="&amp;G$13,LeaveDate,"&lt;"&amp;G$13+7)&gt;0,"SL",IF('設定'!$C$12="S","S",IF('設定'!$C$12="R",IF(MOD(INT((G$13-'設定'!$B$4)/7)+IF('設定'!$D$12="",0,'設定'!$D$12),16)&lt;4,"A",IF(MOD(INT((G$13-'設定'!$B$4)/7)+IF('設定'!$D$12="",0,'設定'!$D$12),16)&lt;8,"P",IF(MOD(INT((G$13-'設定'!$B$4)/7)+IF('設定'!$D$12="",0,'設定'!$D$12),16)&lt;12,"N","P"))),""))))))</f>
        <v/>
      </c>
      <c r="H18" s="24">
        <f>IF(H$13="","",IF('設定'!$B$12="","",IF(COUNTIFS(LeaveName,'設定'!$B$12,LeaveType,"AL",LeaveDate,"&gt;="&amp;H$13,LeaveDate,"&lt;"&amp;H$13+7)&gt;0,"AL",IF(COUNTIFS(LeaveName,'設定'!$B$12,LeaveType,"SL",LeaveDate,"&gt;="&amp;H$13,LeaveDate,"&lt;"&amp;H$13+7)&gt;0,"SL",IF('設定'!$C$12="S","S",IF('設定'!$C$12="R",IF(MOD(INT((H$13-'設定'!$B$4)/7)+IF('設定'!$D$12="",0,'設定'!$D$12),16)&lt;4,"A",IF(MOD(INT((H$13-'設定'!$B$4)/7)+IF('設定'!$D$12="",0,'設定'!$D$12),16)&lt;8,"P",IF(MOD(INT((H$13-'設定'!$B$4)/7)+IF('設定'!$D$12="",0,'設定'!$D$12),16)&lt;12,"N","P"))),""))))))</f>
        <v/>
      </c>
      <c r="I18" s="24">
        <f>IF(I$13="","",IF('設定'!$B$12="","",IF(COUNTIFS(LeaveName,'設定'!$B$12,LeaveType,"AL",LeaveDate,"&gt;="&amp;I$13,LeaveDate,"&lt;"&amp;I$13+7)&gt;0,"AL",IF(COUNTIFS(LeaveName,'設定'!$B$12,LeaveType,"SL",LeaveDate,"&gt;="&amp;I$13,LeaveDate,"&lt;"&amp;I$13+7)&gt;0,"SL",IF('設定'!$C$12="S","S",IF('設定'!$C$12="R",IF(MOD(INT((I$13-'設定'!$B$4)/7)+IF('設定'!$D$12="",0,'設定'!$D$12),16)&lt;4,"A",IF(MOD(INT((I$13-'設定'!$B$4)/7)+IF('設定'!$D$12="",0,'設定'!$D$12),16)&lt;8,"P",IF(MOD(INT((I$13-'設定'!$B$4)/7)+IF('設定'!$D$12="",0,'設定'!$D$12),16)&lt;12,"N","P"))),""))))))</f>
        <v/>
      </c>
      <c r="J18" s="24">
        <f>IF(J$13="","",IF('設定'!$B$12="","",IF(COUNTIFS(LeaveName,'設定'!$B$12,LeaveType,"AL",LeaveDate,"&gt;="&amp;J$13,LeaveDate,"&lt;"&amp;J$13+7)&gt;0,"AL",IF(COUNTIFS(LeaveName,'設定'!$B$12,LeaveType,"SL",LeaveDate,"&gt;="&amp;J$13,LeaveDate,"&lt;"&amp;J$13+7)&gt;0,"SL",IF('設定'!$C$12="S","S",IF('設定'!$C$12="R",IF(MOD(INT((J$13-'設定'!$B$4)/7)+IF('設定'!$D$12="",0,'設定'!$D$12),16)&lt;4,"A",IF(MOD(INT((J$13-'設定'!$B$4)/7)+IF('設定'!$D$12="",0,'設定'!$D$12),16)&lt;8,"P",IF(MOD(INT((J$13-'設定'!$B$4)/7)+IF('設定'!$D$12="",0,'設定'!$D$12),16)&lt;12,"N","P"))),""))))))</f>
        <v/>
      </c>
      <c r="K18" s="24">
        <f>IF(K$13="","",IF('設定'!$B$12="","",IF(COUNTIFS(LeaveName,'設定'!$B$12,LeaveType,"AL",LeaveDate,"&gt;="&amp;K$13,LeaveDate,"&lt;"&amp;K$13+7)&gt;0,"AL",IF(COUNTIFS(LeaveName,'設定'!$B$12,LeaveType,"SL",LeaveDate,"&gt;="&amp;K$13,LeaveDate,"&lt;"&amp;K$13+7)&gt;0,"SL",IF('設定'!$C$12="S","S",IF('設定'!$C$12="R",IF(MOD(INT((K$13-'設定'!$B$4)/7)+IF('設定'!$D$12="",0,'設定'!$D$12),16)&lt;4,"A",IF(MOD(INT((K$13-'設定'!$B$4)/7)+IF('設定'!$D$12="",0,'設定'!$D$12),16)&lt;8,"P",IF(MOD(INT((K$13-'設定'!$B$4)/7)+IF('設定'!$D$12="",0,'設定'!$D$12),16)&lt;12,"N","P"))),""))))))</f>
        <v/>
      </c>
      <c r="L18" s="24">
        <f>IF(L$13="","",IF('設定'!$B$12="","",IF(COUNTIFS(LeaveName,'設定'!$B$12,LeaveType,"AL",LeaveDate,"&gt;="&amp;L$13,LeaveDate,"&lt;"&amp;L$13+7)&gt;0,"AL",IF(COUNTIFS(LeaveName,'設定'!$B$12,LeaveType,"SL",LeaveDate,"&gt;="&amp;L$13,LeaveDate,"&lt;"&amp;L$13+7)&gt;0,"SL",IF('設定'!$C$12="S","S",IF('設定'!$C$12="R",IF(MOD(INT((L$13-'設定'!$B$4)/7)+IF('設定'!$D$12="",0,'設定'!$D$12),16)&lt;4,"A",IF(MOD(INT((L$13-'設定'!$B$4)/7)+IF('設定'!$D$12="",0,'設定'!$D$12),16)&lt;8,"P",IF(MOD(INT((L$13-'設定'!$B$4)/7)+IF('設定'!$D$12="",0,'設定'!$D$12),16)&lt;12,"N","P"))),""))))))</f>
        <v/>
      </c>
      <c r="M18" s="24">
        <f>IF(M$13="","",IF('設定'!$B$12="","",IF(COUNTIFS(LeaveName,'設定'!$B$12,LeaveType,"AL",LeaveDate,"&gt;="&amp;M$13,LeaveDate,"&lt;"&amp;M$13+7)&gt;0,"AL",IF(COUNTIFS(LeaveName,'設定'!$B$12,LeaveType,"SL",LeaveDate,"&gt;="&amp;M$13,LeaveDate,"&lt;"&amp;M$13+7)&gt;0,"SL",IF('設定'!$C$12="S","S",IF('設定'!$C$12="R",IF(MOD(INT((M$13-'設定'!$B$4)/7)+IF('設定'!$D$12="",0,'設定'!$D$12),16)&lt;4,"A",IF(MOD(INT((M$13-'設定'!$B$4)/7)+IF('設定'!$D$12="",0,'設定'!$D$12),16)&lt;8,"P",IF(MOD(INT((M$13-'設定'!$B$4)/7)+IF('設定'!$D$12="",0,'設定'!$D$12),16)&lt;12,"N","P"))),""))))))</f>
        <v/>
      </c>
      <c r="N18" s="24">
        <f>IF(N$13="","",IF('設定'!$B$12="","",IF(COUNTIFS(LeaveName,'設定'!$B$12,LeaveType,"AL",LeaveDate,"&gt;="&amp;N$13,LeaveDate,"&lt;"&amp;N$13+7)&gt;0,"AL",IF(COUNTIFS(LeaveName,'設定'!$B$12,LeaveType,"SL",LeaveDate,"&gt;="&amp;N$13,LeaveDate,"&lt;"&amp;N$13+7)&gt;0,"SL",IF('設定'!$C$12="S","S",IF('設定'!$C$12="R",IF(MOD(INT((N$13-'設定'!$B$4)/7)+IF('設定'!$D$12="",0,'設定'!$D$12),16)&lt;4,"A",IF(MOD(INT((N$13-'設定'!$B$4)/7)+IF('設定'!$D$12="",0,'設定'!$D$12),16)&lt;8,"P",IF(MOD(INT((N$13-'設定'!$B$4)/7)+IF('設定'!$D$12="",0,'設定'!$D$12),16)&lt;12,"N","P"))),""))))))</f>
        <v/>
      </c>
      <c r="O18" s="24">
        <f>IF(O$13="","",IF('設定'!$B$12="","",IF(COUNTIFS(LeaveName,'設定'!$B$12,LeaveType,"AL",LeaveDate,"&gt;="&amp;O$13,LeaveDate,"&lt;"&amp;O$13+7)&gt;0,"AL",IF(COUNTIFS(LeaveName,'設定'!$B$12,LeaveType,"SL",LeaveDate,"&gt;="&amp;O$13,LeaveDate,"&lt;"&amp;O$13+7)&gt;0,"SL",IF('設定'!$C$12="S","S",IF('設定'!$C$12="R",IF(MOD(INT((O$13-'設定'!$B$4)/7)+IF('設定'!$D$12="",0,'設定'!$D$12),16)&lt;4,"A",IF(MOD(INT((O$13-'設定'!$B$4)/7)+IF('設定'!$D$12="",0,'設定'!$D$12),16)&lt;8,"P",IF(MOD(INT((O$13-'設定'!$B$4)/7)+IF('設定'!$D$12="",0,'設定'!$D$12),16)&lt;12,"N","P"))),""))))))</f>
        <v/>
      </c>
      <c r="P18" s="24">
        <f>IF(P$13="","",IF('設定'!$B$12="","",IF(COUNTIFS(LeaveName,'設定'!$B$12,LeaveType,"AL",LeaveDate,"&gt;="&amp;P$13,LeaveDate,"&lt;"&amp;P$13+7)&gt;0,"AL",IF(COUNTIFS(LeaveName,'設定'!$B$12,LeaveType,"SL",LeaveDate,"&gt;="&amp;P$13,LeaveDate,"&lt;"&amp;P$13+7)&gt;0,"SL",IF('設定'!$C$12="S","S",IF('設定'!$C$12="R",IF(MOD(INT((P$13-'設定'!$B$4)/7)+IF('設定'!$D$12="",0,'設定'!$D$12),16)&lt;4,"A",IF(MOD(INT((P$13-'設定'!$B$4)/7)+IF('設定'!$D$12="",0,'設定'!$D$12),16)&lt;8,"P",IF(MOD(INT((P$13-'設定'!$B$4)/7)+IF('設定'!$D$12="",0,'設定'!$D$12),16)&lt;12,"N","P"))),""))))))</f>
        <v/>
      </c>
      <c r="Q18" s="24">
        <f>IF(Q$13="","",IF('設定'!$B$12="","",IF(COUNTIFS(LeaveName,'設定'!$B$12,LeaveType,"AL",LeaveDate,"&gt;="&amp;Q$13,LeaveDate,"&lt;"&amp;Q$13+7)&gt;0,"AL",IF(COUNTIFS(LeaveName,'設定'!$B$12,LeaveType,"SL",LeaveDate,"&gt;="&amp;Q$13,LeaveDate,"&lt;"&amp;Q$13+7)&gt;0,"SL",IF('設定'!$C$12="S","S",IF('設定'!$C$12="R",IF(MOD(INT((Q$13-'設定'!$B$4)/7)+IF('設定'!$D$12="",0,'設定'!$D$12),16)&lt;4,"A",IF(MOD(INT((Q$13-'設定'!$B$4)/7)+IF('設定'!$D$12="",0,'設定'!$D$12),16)&lt;8,"P",IF(MOD(INT((Q$13-'設定'!$B$4)/7)+IF('設定'!$D$12="",0,'設定'!$D$12),16)&lt;12,"N","P"))),""))))))</f>
        <v/>
      </c>
      <c r="R18" s="24">
        <f>IF(R$13="","",IF('設定'!$B$12="","",IF(COUNTIFS(LeaveName,'設定'!$B$12,LeaveType,"AL",LeaveDate,"&gt;="&amp;R$13,LeaveDate,"&lt;"&amp;R$13+7)&gt;0,"AL",IF(COUNTIFS(LeaveName,'設定'!$B$12,LeaveType,"SL",LeaveDate,"&gt;="&amp;R$13,LeaveDate,"&lt;"&amp;R$13+7)&gt;0,"SL",IF('設定'!$C$12="S","S",IF('設定'!$C$12="R",IF(MOD(INT((R$13-'設定'!$B$4)/7)+IF('設定'!$D$12="",0,'設定'!$D$12),16)&lt;4,"A",IF(MOD(INT((R$13-'設定'!$B$4)/7)+IF('設定'!$D$12="",0,'設定'!$D$12),16)&lt;8,"P",IF(MOD(INT((R$13-'設定'!$B$4)/7)+IF('設定'!$D$12="",0,'設定'!$D$12),16)&lt;12,"N","P"))),""))))))</f>
        <v/>
      </c>
      <c r="S18" s="24">
        <f>IF(S$13="","",IF('設定'!$B$12="","",IF(COUNTIFS(LeaveName,'設定'!$B$12,LeaveType,"AL",LeaveDate,"&gt;="&amp;S$13,LeaveDate,"&lt;"&amp;S$13+7)&gt;0,"AL",IF(COUNTIFS(LeaveName,'設定'!$B$12,LeaveType,"SL",LeaveDate,"&gt;="&amp;S$13,LeaveDate,"&lt;"&amp;S$13+7)&gt;0,"SL",IF('設定'!$C$12="S","S",IF('設定'!$C$12="R",IF(MOD(INT((S$13-'設定'!$B$4)/7)+IF('設定'!$D$12="",0,'設定'!$D$12),16)&lt;4,"A",IF(MOD(INT((S$13-'設定'!$B$4)/7)+IF('設定'!$D$12="",0,'設定'!$D$12),16)&lt;8,"P",IF(MOD(INT((S$13-'設定'!$B$4)/7)+IF('設定'!$D$12="",0,'設定'!$D$12),16)&lt;12,"N","P"))),""))))))</f>
        <v/>
      </c>
      <c r="T18" s="24">
        <f>IF(T$13="","",IF('設定'!$B$12="","",IF(COUNTIFS(LeaveName,'設定'!$B$12,LeaveType,"AL",LeaveDate,"&gt;="&amp;T$13,LeaveDate,"&lt;"&amp;T$13+7)&gt;0,"AL",IF(COUNTIFS(LeaveName,'設定'!$B$12,LeaveType,"SL",LeaveDate,"&gt;="&amp;T$13,LeaveDate,"&lt;"&amp;T$13+7)&gt;0,"SL",IF('設定'!$C$12="S","S",IF('設定'!$C$12="R",IF(MOD(INT((T$13-'設定'!$B$4)/7)+IF('設定'!$D$12="",0,'設定'!$D$12),16)&lt;4,"A",IF(MOD(INT((T$13-'設定'!$B$4)/7)+IF('設定'!$D$12="",0,'設定'!$D$12),16)&lt;8,"P",IF(MOD(INT((T$13-'設定'!$B$4)/7)+IF('設定'!$D$12="",0,'設定'!$D$12),16)&lt;12,"N","P"))),""))))))</f>
        <v/>
      </c>
      <c r="U18" s="24">
        <f>IF(U$13="","",IF('設定'!$B$12="","",IF(COUNTIFS(LeaveName,'設定'!$B$12,LeaveType,"AL",LeaveDate,"&gt;="&amp;U$13,LeaveDate,"&lt;"&amp;U$13+7)&gt;0,"AL",IF(COUNTIFS(LeaveName,'設定'!$B$12,LeaveType,"SL",LeaveDate,"&gt;="&amp;U$13,LeaveDate,"&lt;"&amp;U$13+7)&gt;0,"SL",IF('設定'!$C$12="S","S",IF('設定'!$C$12="R",IF(MOD(INT((U$13-'設定'!$B$4)/7)+IF('設定'!$D$12="",0,'設定'!$D$12),16)&lt;4,"A",IF(MOD(INT((U$13-'設定'!$B$4)/7)+IF('設定'!$D$12="",0,'設定'!$D$12),16)&lt;8,"P",IF(MOD(INT((U$13-'設定'!$B$4)/7)+IF('設定'!$D$12="",0,'設定'!$D$12),16)&lt;12,"N","P"))),""))))))</f>
        <v/>
      </c>
      <c r="V18" s="24">
        <f>IF(V$13="","",IF('設定'!$B$12="","",IF(COUNTIFS(LeaveName,'設定'!$B$12,LeaveType,"AL",LeaveDate,"&gt;="&amp;V$13,LeaveDate,"&lt;"&amp;V$13+7)&gt;0,"AL",IF(COUNTIFS(LeaveName,'設定'!$B$12,LeaveType,"SL",LeaveDate,"&gt;="&amp;V$13,LeaveDate,"&lt;"&amp;V$13+7)&gt;0,"SL",IF('設定'!$C$12="S","S",IF('設定'!$C$12="R",IF(MOD(INT((V$13-'設定'!$B$4)/7)+IF('設定'!$D$12="",0,'設定'!$D$12),16)&lt;4,"A",IF(MOD(INT((V$13-'設定'!$B$4)/7)+IF('設定'!$D$12="",0,'設定'!$D$12),16)&lt;8,"P",IF(MOD(INT((V$13-'設定'!$B$4)/7)+IF('設定'!$D$12="",0,'設定'!$D$12),16)&lt;12,"N","P"))),""))))))</f>
        <v/>
      </c>
      <c r="W18" s="24">
        <f>IF(W$13="","",IF('設定'!$B$12="","",IF(COUNTIFS(LeaveName,'設定'!$B$12,LeaveType,"AL",LeaveDate,"&gt;="&amp;W$13,LeaveDate,"&lt;"&amp;W$13+7)&gt;0,"AL",IF(COUNTIFS(LeaveName,'設定'!$B$12,LeaveType,"SL",LeaveDate,"&gt;="&amp;W$13,LeaveDate,"&lt;"&amp;W$13+7)&gt;0,"SL",IF('設定'!$C$12="S","S",IF('設定'!$C$12="R",IF(MOD(INT((W$13-'設定'!$B$4)/7)+IF('設定'!$D$12="",0,'設定'!$D$12),16)&lt;4,"A",IF(MOD(INT((W$13-'設定'!$B$4)/7)+IF('設定'!$D$12="",0,'設定'!$D$12),16)&lt;8,"P",IF(MOD(INT((W$13-'設定'!$B$4)/7)+IF('設定'!$D$12="",0,'設定'!$D$12),16)&lt;12,"N","P"))),""))))))</f>
        <v/>
      </c>
      <c r="X18" s="24">
        <f>IF(X$13="","",IF('設定'!$B$12="","",IF(COUNTIFS(LeaveName,'設定'!$B$12,LeaveType,"AL",LeaveDate,"&gt;="&amp;X$13,LeaveDate,"&lt;"&amp;X$13+7)&gt;0,"AL",IF(COUNTIFS(LeaveName,'設定'!$B$12,LeaveType,"SL",LeaveDate,"&gt;="&amp;X$13,LeaveDate,"&lt;"&amp;X$13+7)&gt;0,"SL",IF('設定'!$C$12="S","S",IF('設定'!$C$12="R",IF(MOD(INT((X$13-'設定'!$B$4)/7)+IF('設定'!$D$12="",0,'設定'!$D$12),16)&lt;4,"A",IF(MOD(INT((X$13-'設定'!$B$4)/7)+IF('設定'!$D$12="",0,'設定'!$D$12),16)&lt;8,"P",IF(MOD(INT((X$13-'設定'!$B$4)/7)+IF('設定'!$D$12="",0,'設定'!$D$12),16)&lt;12,"N","P"))),""))))))</f>
        <v/>
      </c>
      <c r="Y18" s="24">
        <f>IF(Y$13="","",IF('設定'!$B$12="","",IF(COUNTIFS(LeaveName,'設定'!$B$12,LeaveType,"AL",LeaveDate,"&gt;="&amp;Y$13,LeaveDate,"&lt;"&amp;Y$13+7)&gt;0,"AL",IF(COUNTIFS(LeaveName,'設定'!$B$12,LeaveType,"SL",LeaveDate,"&gt;="&amp;Y$13,LeaveDate,"&lt;"&amp;Y$13+7)&gt;0,"SL",IF('設定'!$C$12="S","S",IF('設定'!$C$12="R",IF(MOD(INT((Y$13-'設定'!$B$4)/7)+IF('設定'!$D$12="",0,'設定'!$D$12),16)&lt;4,"A",IF(MOD(INT((Y$13-'設定'!$B$4)/7)+IF('設定'!$D$12="",0,'設定'!$D$12),16)&lt;8,"P",IF(MOD(INT((Y$13-'設定'!$B$4)/7)+IF('設定'!$D$12="",0,'設定'!$D$12),16)&lt;12,"N","P"))),""))))))</f>
        <v/>
      </c>
      <c r="Z18" s="24">
        <f>IF(Z$13="","",IF('設定'!$B$12="","",IF(COUNTIFS(LeaveName,'設定'!$B$12,LeaveType,"AL",LeaveDate,"&gt;="&amp;Z$13,LeaveDate,"&lt;"&amp;Z$13+7)&gt;0,"AL",IF(COUNTIFS(LeaveName,'設定'!$B$12,LeaveType,"SL",LeaveDate,"&gt;="&amp;Z$13,LeaveDate,"&lt;"&amp;Z$13+7)&gt;0,"SL",IF('設定'!$C$12="S","S",IF('設定'!$C$12="R",IF(MOD(INT((Z$13-'設定'!$B$4)/7)+IF('設定'!$D$12="",0,'設定'!$D$12),16)&lt;4,"A",IF(MOD(INT((Z$13-'設定'!$B$4)/7)+IF('設定'!$D$12="",0,'設定'!$D$12),16)&lt;8,"P",IF(MOD(INT((Z$13-'設定'!$B$4)/7)+IF('設定'!$D$12="",0,'設定'!$D$12),16)&lt;12,"N","P"))),""))))))</f>
        <v/>
      </c>
      <c r="AA18" s="24">
        <f>IF(AA$13="","",IF('設定'!$B$12="","",IF(COUNTIFS(LeaveName,'設定'!$B$12,LeaveType,"AL",LeaveDate,"&gt;="&amp;AA$13,LeaveDate,"&lt;"&amp;AA$13+7)&gt;0,"AL",IF(COUNTIFS(LeaveName,'設定'!$B$12,LeaveType,"SL",LeaveDate,"&gt;="&amp;AA$13,LeaveDate,"&lt;"&amp;AA$13+7)&gt;0,"SL",IF('設定'!$C$12="S","S",IF('設定'!$C$12="R",IF(MOD(INT((AA$13-'設定'!$B$4)/7)+IF('設定'!$D$12="",0,'設定'!$D$12),16)&lt;4,"A",IF(MOD(INT((AA$13-'設定'!$B$4)/7)+IF('設定'!$D$12="",0,'設定'!$D$12),16)&lt;8,"P",IF(MOD(INT((AA$13-'設定'!$B$4)/7)+IF('設定'!$D$12="",0,'設定'!$D$12),16)&lt;12,"N","P"))),""))))))</f>
        <v/>
      </c>
      <c r="AB18" s="24">
        <f>IF(AB$13="","",IF('設定'!$B$12="","",IF(COUNTIFS(LeaveName,'設定'!$B$12,LeaveType,"AL",LeaveDate,"&gt;="&amp;AB$13,LeaveDate,"&lt;"&amp;AB$13+7)&gt;0,"AL",IF(COUNTIFS(LeaveName,'設定'!$B$12,LeaveType,"SL",LeaveDate,"&gt;="&amp;AB$13,LeaveDate,"&lt;"&amp;AB$13+7)&gt;0,"SL",IF('設定'!$C$12="S","S",IF('設定'!$C$12="R",IF(MOD(INT((AB$13-'設定'!$B$4)/7)+IF('設定'!$D$12="",0,'設定'!$D$12),16)&lt;4,"A",IF(MOD(INT((AB$13-'設定'!$B$4)/7)+IF('設定'!$D$12="",0,'設定'!$D$12),16)&lt;8,"P",IF(MOD(INT((AB$13-'設定'!$B$4)/7)+IF('設定'!$D$12="",0,'設定'!$D$12),16)&lt;12,"N","P"))),""))))))</f>
        <v/>
      </c>
      <c r="AC18" s="24">
        <f>IF(AC$13="","",IF('設定'!$B$12="","",IF(COUNTIFS(LeaveName,'設定'!$B$12,LeaveType,"AL",LeaveDate,"&gt;="&amp;AC$13,LeaveDate,"&lt;"&amp;AC$13+7)&gt;0,"AL",IF(COUNTIFS(LeaveName,'設定'!$B$12,LeaveType,"SL",LeaveDate,"&gt;="&amp;AC$13,LeaveDate,"&lt;"&amp;AC$13+7)&gt;0,"SL",IF('設定'!$C$12="S","S",IF('設定'!$C$12="R",IF(MOD(INT((AC$13-'設定'!$B$4)/7)+IF('設定'!$D$12="",0,'設定'!$D$12),16)&lt;4,"A",IF(MOD(INT((AC$13-'設定'!$B$4)/7)+IF('設定'!$D$12="",0,'設定'!$D$12),16)&lt;8,"P",IF(MOD(INT((AC$13-'設定'!$B$4)/7)+IF('設定'!$D$12="",0,'設定'!$D$12),16)&lt;12,"N","P"))),""))))))</f>
        <v/>
      </c>
      <c r="AD18" s="24">
        <f>IF(AD$13="","",IF('設定'!$B$12="","",IF(COUNTIFS(LeaveName,'設定'!$B$12,LeaveType,"AL",LeaveDate,"&gt;="&amp;AD$13,LeaveDate,"&lt;"&amp;AD$13+7)&gt;0,"AL",IF(COUNTIFS(LeaveName,'設定'!$B$12,LeaveType,"SL",LeaveDate,"&gt;="&amp;AD$13,LeaveDate,"&lt;"&amp;AD$13+7)&gt;0,"SL",IF('設定'!$C$12="S","S",IF('設定'!$C$12="R",IF(MOD(INT((AD$13-'設定'!$B$4)/7)+IF('設定'!$D$12="",0,'設定'!$D$12),16)&lt;4,"A",IF(MOD(INT((AD$13-'設定'!$B$4)/7)+IF('設定'!$D$12="",0,'設定'!$D$12),16)&lt;8,"P",IF(MOD(INT((AD$13-'設定'!$B$4)/7)+IF('設定'!$D$12="",0,'設定'!$D$12),16)&lt;12,"N","P"))),""))))))</f>
        <v/>
      </c>
      <c r="AE18" s="24">
        <f>IF(AE$13="","",IF('設定'!$B$12="","",IF(COUNTIFS(LeaveName,'設定'!$B$12,LeaveType,"AL",LeaveDate,"&gt;="&amp;AE$13,LeaveDate,"&lt;"&amp;AE$13+7)&gt;0,"AL",IF(COUNTIFS(LeaveName,'設定'!$B$12,LeaveType,"SL",LeaveDate,"&gt;="&amp;AE$13,LeaveDate,"&lt;"&amp;AE$13+7)&gt;0,"SL",IF('設定'!$C$12="S","S",IF('設定'!$C$12="R",IF(MOD(INT((AE$13-'設定'!$B$4)/7)+IF('設定'!$D$12="",0,'設定'!$D$12),16)&lt;4,"A",IF(MOD(INT((AE$13-'設定'!$B$4)/7)+IF('設定'!$D$12="",0,'設定'!$D$12),16)&lt;8,"P",IF(MOD(INT((AE$13-'設定'!$B$4)/7)+IF('設定'!$D$12="",0,'設定'!$D$12),16)&lt;12,"N","P"))),""))))))</f>
        <v/>
      </c>
      <c r="AF18" s="24">
        <f>IF(AF$13="","",IF('設定'!$B$12="","",IF(COUNTIFS(LeaveName,'設定'!$B$12,LeaveType,"AL",LeaveDate,"&gt;="&amp;AF$13,LeaveDate,"&lt;"&amp;AF$13+7)&gt;0,"AL",IF(COUNTIFS(LeaveName,'設定'!$B$12,LeaveType,"SL",LeaveDate,"&gt;="&amp;AF$13,LeaveDate,"&lt;"&amp;AF$13+7)&gt;0,"SL",IF('設定'!$C$12="S","S",IF('設定'!$C$12="R",IF(MOD(INT((AF$13-'設定'!$B$4)/7)+IF('設定'!$D$12="",0,'設定'!$D$12),16)&lt;4,"A",IF(MOD(INT((AF$13-'設定'!$B$4)/7)+IF('設定'!$D$12="",0,'設定'!$D$12),16)&lt;8,"P",IF(MOD(INT((AF$13-'設定'!$B$4)/7)+IF('設定'!$D$12="",0,'設定'!$D$12),16)&lt;12,"N","P"))),""))))))</f>
        <v/>
      </c>
      <c r="AG18" s="24">
        <f>IF(AG$13="","",IF('設定'!$B$12="","",IF(COUNTIFS(LeaveName,'設定'!$B$12,LeaveType,"AL",LeaveDate,"&gt;="&amp;AG$13,LeaveDate,"&lt;"&amp;AG$13+7)&gt;0,"AL",IF(COUNTIFS(LeaveName,'設定'!$B$12,LeaveType,"SL",LeaveDate,"&gt;="&amp;AG$13,LeaveDate,"&lt;"&amp;AG$13+7)&gt;0,"SL",IF('設定'!$C$12="S","S",IF('設定'!$C$12="R",IF(MOD(INT((AG$13-'設定'!$B$4)/7)+IF('設定'!$D$12="",0,'設定'!$D$12),16)&lt;4,"A",IF(MOD(INT((AG$13-'設定'!$B$4)/7)+IF('設定'!$D$12="",0,'設定'!$D$12),16)&lt;8,"P",IF(MOD(INT((AG$13-'設定'!$B$4)/7)+IF('設定'!$D$12="",0,'設定'!$D$12),16)&lt;12,"N","P"))),""))))))</f>
        <v/>
      </c>
      <c r="AH18" s="24">
        <f>IF(AH$13="","",IF('設定'!$B$12="","",IF(COUNTIFS(LeaveName,'設定'!$B$12,LeaveType,"AL",LeaveDate,"&gt;="&amp;AH$13,LeaveDate,"&lt;"&amp;AH$13+7)&gt;0,"AL",IF(COUNTIFS(LeaveName,'設定'!$B$12,LeaveType,"SL",LeaveDate,"&gt;="&amp;AH$13,LeaveDate,"&lt;"&amp;AH$13+7)&gt;0,"SL",IF('設定'!$C$12="S","S",IF('設定'!$C$12="R",IF(MOD(INT((AH$13-'設定'!$B$4)/7)+IF('設定'!$D$12="",0,'設定'!$D$12),16)&lt;4,"A",IF(MOD(INT((AH$13-'設定'!$B$4)/7)+IF('設定'!$D$12="",0,'設定'!$D$12),16)&lt;8,"P",IF(MOD(INT((AH$13-'設定'!$B$4)/7)+IF('設定'!$D$12="",0,'設定'!$D$12),16)&lt;12,"N","P"))),""))))))</f>
        <v/>
      </c>
      <c r="AI18" s="24">
        <f>IF(AI$13="","",IF('設定'!$B$12="","",IF(COUNTIFS(LeaveName,'設定'!$B$12,LeaveType,"AL",LeaveDate,"&gt;="&amp;AI$13,LeaveDate,"&lt;"&amp;AI$13+7)&gt;0,"AL",IF(COUNTIFS(LeaveName,'設定'!$B$12,LeaveType,"SL",LeaveDate,"&gt;="&amp;AI$13,LeaveDate,"&lt;"&amp;AI$13+7)&gt;0,"SL",IF('設定'!$C$12="S","S",IF('設定'!$C$12="R",IF(MOD(INT((AI$13-'設定'!$B$4)/7)+IF('設定'!$D$12="",0,'設定'!$D$12),16)&lt;4,"A",IF(MOD(INT((AI$13-'設定'!$B$4)/7)+IF('設定'!$D$12="",0,'設定'!$D$12),16)&lt;8,"P",IF(MOD(INT((AI$13-'設定'!$B$4)/7)+IF('設定'!$D$12="",0,'設定'!$D$12),16)&lt;12,"N","P"))),""))))))</f>
        <v/>
      </c>
      <c r="AJ18" s="24">
        <f>IF(AJ$13="","",IF('設定'!$B$12="","",IF(COUNTIFS(LeaveName,'設定'!$B$12,LeaveType,"AL",LeaveDate,"&gt;="&amp;AJ$13,LeaveDate,"&lt;"&amp;AJ$13+7)&gt;0,"AL",IF(COUNTIFS(LeaveName,'設定'!$B$12,LeaveType,"SL",LeaveDate,"&gt;="&amp;AJ$13,LeaveDate,"&lt;"&amp;AJ$13+7)&gt;0,"SL",IF('設定'!$C$12="S","S",IF('設定'!$C$12="R",IF(MOD(INT((AJ$13-'設定'!$B$4)/7)+IF('設定'!$D$12="",0,'設定'!$D$12),16)&lt;4,"A",IF(MOD(INT((AJ$13-'設定'!$B$4)/7)+IF('設定'!$D$12="",0,'設定'!$D$12),16)&lt;8,"P",IF(MOD(INT((AJ$13-'設定'!$B$4)/7)+IF('設定'!$D$12="",0,'設定'!$D$12),16)&lt;12,"N","P"))),""))))))</f>
        <v/>
      </c>
      <c r="AK18" s="24">
        <f>IF(AK$13="","",IF('設定'!$B$12="","",IF(COUNTIFS(LeaveName,'設定'!$B$12,LeaveType,"AL",LeaveDate,"&gt;="&amp;AK$13,LeaveDate,"&lt;"&amp;AK$13+7)&gt;0,"AL",IF(COUNTIFS(LeaveName,'設定'!$B$12,LeaveType,"SL",LeaveDate,"&gt;="&amp;AK$13,LeaveDate,"&lt;"&amp;AK$13+7)&gt;0,"SL",IF('設定'!$C$12="S","S",IF('設定'!$C$12="R",IF(MOD(INT((AK$13-'設定'!$B$4)/7)+IF('設定'!$D$12="",0,'設定'!$D$12),16)&lt;4,"A",IF(MOD(INT((AK$13-'設定'!$B$4)/7)+IF('設定'!$D$12="",0,'設定'!$D$12),16)&lt;8,"P",IF(MOD(INT((AK$13-'設定'!$B$4)/7)+IF('設定'!$D$12="",0,'設定'!$D$12),16)&lt;12,"N","P"))),""))))))</f>
        <v/>
      </c>
      <c r="AL18" s="24">
        <f>IF(AL$13="","",IF('設定'!$B$12="","",IF(COUNTIFS(LeaveName,'設定'!$B$12,LeaveType,"AL",LeaveDate,"&gt;="&amp;AL$13,LeaveDate,"&lt;"&amp;AL$13+7)&gt;0,"AL",IF(COUNTIFS(LeaveName,'設定'!$B$12,LeaveType,"SL",LeaveDate,"&gt;="&amp;AL$13,LeaveDate,"&lt;"&amp;AL$13+7)&gt;0,"SL",IF('設定'!$C$12="S","S",IF('設定'!$C$12="R",IF(MOD(INT((AL$13-'設定'!$B$4)/7)+IF('設定'!$D$12="",0,'設定'!$D$12),16)&lt;4,"A",IF(MOD(INT((AL$13-'設定'!$B$4)/7)+IF('設定'!$D$12="",0,'設定'!$D$12),16)&lt;8,"P",IF(MOD(INT((AL$13-'設定'!$B$4)/7)+IF('設定'!$D$12="",0,'設定'!$D$12),16)&lt;12,"N","P"))),""))))))</f>
        <v/>
      </c>
      <c r="AM18" s="24">
        <f>IF(AM$13="","",IF('設定'!$B$12="","",IF(COUNTIFS(LeaveName,'設定'!$B$12,LeaveType,"AL",LeaveDate,"&gt;="&amp;AM$13,LeaveDate,"&lt;"&amp;AM$13+7)&gt;0,"AL",IF(COUNTIFS(LeaveName,'設定'!$B$12,LeaveType,"SL",LeaveDate,"&gt;="&amp;AM$13,LeaveDate,"&lt;"&amp;AM$13+7)&gt;0,"SL",IF('設定'!$C$12="S","S",IF('設定'!$C$12="R",IF(MOD(INT((AM$13-'設定'!$B$4)/7)+IF('設定'!$D$12="",0,'設定'!$D$12),16)&lt;4,"A",IF(MOD(INT((AM$13-'設定'!$B$4)/7)+IF('設定'!$D$12="",0,'設定'!$D$12),16)&lt;8,"P",IF(MOD(INT((AM$13-'設定'!$B$4)/7)+IF('設定'!$D$12="",0,'設定'!$D$12),16)&lt;12,"N","P"))),""))))))</f>
        <v/>
      </c>
      <c r="AN18" s="24">
        <f>IF(AN$13="","",IF('設定'!$B$12="","",IF(COUNTIFS(LeaveName,'設定'!$B$12,LeaveType,"AL",LeaveDate,"&gt;="&amp;AN$13,LeaveDate,"&lt;"&amp;AN$13+7)&gt;0,"AL",IF(COUNTIFS(LeaveName,'設定'!$B$12,LeaveType,"SL",LeaveDate,"&gt;="&amp;AN$13,LeaveDate,"&lt;"&amp;AN$13+7)&gt;0,"SL",IF('設定'!$C$12="S","S",IF('設定'!$C$12="R",IF(MOD(INT((AN$13-'設定'!$B$4)/7)+IF('設定'!$D$12="",0,'設定'!$D$12),16)&lt;4,"A",IF(MOD(INT((AN$13-'設定'!$B$4)/7)+IF('設定'!$D$12="",0,'設定'!$D$12),16)&lt;8,"P",IF(MOD(INT((AN$13-'設定'!$B$4)/7)+IF('設定'!$D$12="",0,'設定'!$D$12),16)&lt;12,"N","P"))),""))))))</f>
        <v/>
      </c>
      <c r="AO18" s="24">
        <f>IF(AO$13="","",IF('設定'!$B$12="","",IF(COUNTIFS(LeaveName,'設定'!$B$12,LeaveType,"AL",LeaveDate,"&gt;="&amp;AO$13,LeaveDate,"&lt;"&amp;AO$13+7)&gt;0,"AL",IF(COUNTIFS(LeaveName,'設定'!$B$12,LeaveType,"SL",LeaveDate,"&gt;="&amp;AO$13,LeaveDate,"&lt;"&amp;AO$13+7)&gt;0,"SL",IF('設定'!$C$12="S","S",IF('設定'!$C$12="R",IF(MOD(INT((AO$13-'設定'!$B$4)/7)+IF('設定'!$D$12="",0,'設定'!$D$12),16)&lt;4,"A",IF(MOD(INT((AO$13-'設定'!$B$4)/7)+IF('設定'!$D$12="",0,'設定'!$D$12),16)&lt;8,"P",IF(MOD(INT((AO$13-'設定'!$B$4)/7)+IF('設定'!$D$12="",0,'設定'!$D$12),16)&lt;12,"N","P"))),""))))))</f>
        <v/>
      </c>
      <c r="AP18" s="24">
        <f>IF(AP$13="","",IF('設定'!$B$12="","",IF(COUNTIFS(LeaveName,'設定'!$B$12,LeaveType,"AL",LeaveDate,"&gt;="&amp;AP$13,LeaveDate,"&lt;"&amp;AP$13+7)&gt;0,"AL",IF(COUNTIFS(LeaveName,'設定'!$B$12,LeaveType,"SL",LeaveDate,"&gt;="&amp;AP$13,LeaveDate,"&lt;"&amp;AP$13+7)&gt;0,"SL",IF('設定'!$C$12="S","S",IF('設定'!$C$12="R",IF(MOD(INT((AP$13-'設定'!$B$4)/7)+IF('設定'!$D$12="",0,'設定'!$D$12),16)&lt;4,"A",IF(MOD(INT((AP$13-'設定'!$B$4)/7)+IF('設定'!$D$12="",0,'設定'!$D$12),16)&lt;8,"P",IF(MOD(INT((AP$13-'設定'!$B$4)/7)+IF('設定'!$D$12="",0,'設定'!$D$12),16)&lt;12,"N","P"))),""))))))</f>
        <v/>
      </c>
      <c r="AQ18" s="24">
        <f>IF(AQ$13="","",IF('設定'!$B$12="","",IF(COUNTIFS(LeaveName,'設定'!$B$12,LeaveType,"AL",LeaveDate,"&gt;="&amp;AQ$13,LeaveDate,"&lt;"&amp;AQ$13+7)&gt;0,"AL",IF(COUNTIFS(LeaveName,'設定'!$B$12,LeaveType,"SL",LeaveDate,"&gt;="&amp;AQ$13,LeaveDate,"&lt;"&amp;AQ$13+7)&gt;0,"SL",IF('設定'!$C$12="S","S",IF('設定'!$C$12="R",IF(MOD(INT((AQ$13-'設定'!$B$4)/7)+IF('設定'!$D$12="",0,'設定'!$D$12),16)&lt;4,"A",IF(MOD(INT((AQ$13-'設定'!$B$4)/7)+IF('設定'!$D$12="",0,'設定'!$D$12),16)&lt;8,"P",IF(MOD(INT((AQ$13-'設定'!$B$4)/7)+IF('設定'!$D$12="",0,'設定'!$D$12),16)&lt;12,"N","P"))),""))))))</f>
        <v/>
      </c>
      <c r="AR18" s="24">
        <f>IF(AR$13="","",IF('設定'!$B$12="","",IF(COUNTIFS(LeaveName,'設定'!$B$12,LeaveType,"AL",LeaveDate,"&gt;="&amp;AR$13,LeaveDate,"&lt;"&amp;AR$13+7)&gt;0,"AL",IF(COUNTIFS(LeaveName,'設定'!$B$12,LeaveType,"SL",LeaveDate,"&gt;="&amp;AR$13,LeaveDate,"&lt;"&amp;AR$13+7)&gt;0,"SL",IF('設定'!$C$12="S","S",IF('設定'!$C$12="R",IF(MOD(INT((AR$13-'設定'!$B$4)/7)+IF('設定'!$D$12="",0,'設定'!$D$12),16)&lt;4,"A",IF(MOD(INT((AR$13-'設定'!$B$4)/7)+IF('設定'!$D$12="",0,'設定'!$D$12),16)&lt;8,"P",IF(MOD(INT((AR$13-'設定'!$B$4)/7)+IF('設定'!$D$12="",0,'設定'!$D$12),16)&lt;12,"N","P"))),""))))))</f>
        <v/>
      </c>
      <c r="AS18" s="24">
        <f>IF(AS$13="","",IF('設定'!$B$12="","",IF(COUNTIFS(LeaveName,'設定'!$B$12,LeaveType,"AL",LeaveDate,"&gt;="&amp;AS$13,LeaveDate,"&lt;"&amp;AS$13+7)&gt;0,"AL",IF(COUNTIFS(LeaveName,'設定'!$B$12,LeaveType,"SL",LeaveDate,"&gt;="&amp;AS$13,LeaveDate,"&lt;"&amp;AS$13+7)&gt;0,"SL",IF('設定'!$C$12="S","S",IF('設定'!$C$12="R",IF(MOD(INT((AS$13-'設定'!$B$4)/7)+IF('設定'!$D$12="",0,'設定'!$D$12),16)&lt;4,"A",IF(MOD(INT((AS$13-'設定'!$B$4)/7)+IF('設定'!$D$12="",0,'設定'!$D$12),16)&lt;8,"P",IF(MOD(INT((AS$13-'設定'!$B$4)/7)+IF('設定'!$D$12="",0,'設定'!$D$12),16)&lt;12,"N","P"))),""))))))</f>
        <v/>
      </c>
      <c r="AT18" s="24">
        <f>IF(AT$13="","",IF('設定'!$B$12="","",IF(COUNTIFS(LeaveName,'設定'!$B$12,LeaveType,"AL",LeaveDate,"&gt;="&amp;AT$13,LeaveDate,"&lt;"&amp;AT$13+7)&gt;0,"AL",IF(COUNTIFS(LeaveName,'設定'!$B$12,LeaveType,"SL",LeaveDate,"&gt;="&amp;AT$13,LeaveDate,"&lt;"&amp;AT$13+7)&gt;0,"SL",IF('設定'!$C$12="S","S",IF('設定'!$C$12="R",IF(MOD(INT((AT$13-'設定'!$B$4)/7)+IF('設定'!$D$12="",0,'設定'!$D$12),16)&lt;4,"A",IF(MOD(INT((AT$13-'設定'!$B$4)/7)+IF('設定'!$D$12="",0,'設定'!$D$12),16)&lt;8,"P",IF(MOD(INT((AT$13-'設定'!$B$4)/7)+IF('設定'!$D$12="",0,'設定'!$D$12),16)&lt;12,"N","P"))),""))))))</f>
        <v/>
      </c>
      <c r="AU18" s="24">
        <f>IF(AU$13="","",IF('設定'!$B$12="","",IF(COUNTIFS(LeaveName,'設定'!$B$12,LeaveType,"AL",LeaveDate,"&gt;="&amp;AU$13,LeaveDate,"&lt;"&amp;AU$13+7)&gt;0,"AL",IF(COUNTIFS(LeaveName,'設定'!$B$12,LeaveType,"SL",LeaveDate,"&gt;="&amp;AU$13,LeaveDate,"&lt;"&amp;AU$13+7)&gt;0,"SL",IF('設定'!$C$12="S","S",IF('設定'!$C$12="R",IF(MOD(INT((AU$13-'設定'!$B$4)/7)+IF('設定'!$D$12="",0,'設定'!$D$12),16)&lt;4,"A",IF(MOD(INT((AU$13-'設定'!$B$4)/7)+IF('設定'!$D$12="",0,'設定'!$D$12),16)&lt;8,"P",IF(MOD(INT((AU$13-'設定'!$B$4)/7)+IF('設定'!$D$12="",0,'設定'!$D$12),16)&lt;12,"N","P"))),""))))))</f>
        <v/>
      </c>
      <c r="AV18" s="24">
        <f>IF(AV$13="","",IF('設定'!$B$12="","",IF(COUNTIFS(LeaveName,'設定'!$B$12,LeaveType,"AL",LeaveDate,"&gt;="&amp;AV$13,LeaveDate,"&lt;"&amp;AV$13+7)&gt;0,"AL",IF(COUNTIFS(LeaveName,'設定'!$B$12,LeaveType,"SL",LeaveDate,"&gt;="&amp;AV$13,LeaveDate,"&lt;"&amp;AV$13+7)&gt;0,"SL",IF('設定'!$C$12="S","S",IF('設定'!$C$12="R",IF(MOD(INT((AV$13-'設定'!$B$4)/7)+IF('設定'!$D$12="",0,'設定'!$D$12),16)&lt;4,"A",IF(MOD(INT((AV$13-'設定'!$B$4)/7)+IF('設定'!$D$12="",0,'設定'!$D$12),16)&lt;8,"P",IF(MOD(INT((AV$13-'設定'!$B$4)/7)+IF('設定'!$D$12="",0,'設定'!$D$12),16)&lt;12,"N","P"))),""))))))</f>
        <v/>
      </c>
      <c r="AW18" s="24">
        <f>IF(AW$13="","",IF('設定'!$B$12="","",IF(COUNTIFS(LeaveName,'設定'!$B$12,LeaveType,"AL",LeaveDate,"&gt;="&amp;AW$13,LeaveDate,"&lt;"&amp;AW$13+7)&gt;0,"AL",IF(COUNTIFS(LeaveName,'設定'!$B$12,LeaveType,"SL",LeaveDate,"&gt;="&amp;AW$13,LeaveDate,"&lt;"&amp;AW$13+7)&gt;0,"SL",IF('設定'!$C$12="S","S",IF('設定'!$C$12="R",IF(MOD(INT((AW$13-'設定'!$B$4)/7)+IF('設定'!$D$12="",0,'設定'!$D$12),16)&lt;4,"A",IF(MOD(INT((AW$13-'設定'!$B$4)/7)+IF('設定'!$D$12="",0,'設定'!$D$12),16)&lt;8,"P",IF(MOD(INT((AW$13-'設定'!$B$4)/7)+IF('設定'!$D$12="",0,'設定'!$D$12),16)&lt;12,"N","P"))),""))))))</f>
        <v/>
      </c>
      <c r="AX18" s="24">
        <f>IF(AX$13="","",IF('設定'!$B$12="","",IF(COUNTIFS(LeaveName,'設定'!$B$12,LeaveType,"AL",LeaveDate,"&gt;="&amp;AX$13,LeaveDate,"&lt;"&amp;AX$13+7)&gt;0,"AL",IF(COUNTIFS(LeaveName,'設定'!$B$12,LeaveType,"SL",LeaveDate,"&gt;="&amp;AX$13,LeaveDate,"&lt;"&amp;AX$13+7)&gt;0,"SL",IF('設定'!$C$12="S","S",IF('設定'!$C$12="R",IF(MOD(INT((AX$13-'設定'!$B$4)/7)+IF('設定'!$D$12="",0,'設定'!$D$12),16)&lt;4,"A",IF(MOD(INT((AX$13-'設定'!$B$4)/7)+IF('設定'!$D$12="",0,'設定'!$D$12),16)&lt;8,"P",IF(MOD(INT((AX$13-'設定'!$B$4)/7)+IF('設定'!$D$12="",0,'設定'!$D$12),16)&lt;12,"N","P"))),""))))))</f>
        <v/>
      </c>
      <c r="AY18" s="24">
        <f>IF(AY$13="","",IF('設定'!$B$12="","",IF(COUNTIFS(LeaveName,'設定'!$B$12,LeaveType,"AL",LeaveDate,"&gt;="&amp;AY$13,LeaveDate,"&lt;"&amp;AY$13+7)&gt;0,"AL",IF(COUNTIFS(LeaveName,'設定'!$B$12,LeaveType,"SL",LeaveDate,"&gt;="&amp;AY$13,LeaveDate,"&lt;"&amp;AY$13+7)&gt;0,"SL",IF('設定'!$C$12="S","S",IF('設定'!$C$12="R",IF(MOD(INT((AY$13-'設定'!$B$4)/7)+IF('設定'!$D$12="",0,'設定'!$D$12),16)&lt;4,"A",IF(MOD(INT((AY$13-'設定'!$B$4)/7)+IF('設定'!$D$12="",0,'設定'!$D$12),16)&lt;8,"P",IF(MOD(INT((AY$13-'設定'!$B$4)/7)+IF('設定'!$D$12="",0,'設定'!$D$12),16)&lt;12,"N","P"))),""))))))</f>
        <v/>
      </c>
      <c r="AZ18" s="24">
        <f>IF(AZ$13="","",IF('設定'!$B$12="","",IF(COUNTIFS(LeaveName,'設定'!$B$12,LeaveType,"AL",LeaveDate,"&gt;="&amp;AZ$13,LeaveDate,"&lt;"&amp;AZ$13+7)&gt;0,"AL",IF(COUNTIFS(LeaveName,'設定'!$B$12,LeaveType,"SL",LeaveDate,"&gt;="&amp;AZ$13,LeaveDate,"&lt;"&amp;AZ$13+7)&gt;0,"SL",IF('設定'!$C$12="S","S",IF('設定'!$C$12="R",IF(MOD(INT((AZ$13-'設定'!$B$4)/7)+IF('設定'!$D$12="",0,'設定'!$D$12),16)&lt;4,"A",IF(MOD(INT((AZ$13-'設定'!$B$4)/7)+IF('設定'!$D$12="",0,'設定'!$D$12),16)&lt;8,"P",IF(MOD(INT((AZ$13-'設定'!$B$4)/7)+IF('設定'!$D$12="",0,'設定'!$D$12),16)&lt;12,"N","P"))),""))))))</f>
        <v/>
      </c>
      <c r="BA18" s="24">
        <f>IF(BA$13="","",IF('設定'!$B$12="","",IF(COUNTIFS(LeaveName,'設定'!$B$12,LeaveType,"AL",LeaveDate,"&gt;="&amp;BA$13,LeaveDate,"&lt;"&amp;BA$13+7)&gt;0,"AL",IF(COUNTIFS(LeaveName,'設定'!$B$12,LeaveType,"SL",LeaveDate,"&gt;="&amp;BA$13,LeaveDate,"&lt;"&amp;BA$13+7)&gt;0,"SL",IF('設定'!$C$12="S","S",IF('設定'!$C$12="R",IF(MOD(INT((BA$13-'設定'!$B$4)/7)+IF('設定'!$D$12="",0,'設定'!$D$12),16)&lt;4,"A",IF(MOD(INT((BA$13-'設定'!$B$4)/7)+IF('設定'!$D$12="",0,'設定'!$D$12),16)&lt;8,"P",IF(MOD(INT((BA$13-'設定'!$B$4)/7)+IF('設定'!$D$12="",0,'設定'!$D$12),16)&lt;12,"N","P"))),""))))))</f>
        <v/>
      </c>
      <c r="BB18" s="24">
        <f>IF(BB$13="","",IF('設定'!$B$12="","",IF(COUNTIFS(LeaveName,'設定'!$B$12,LeaveType,"AL",LeaveDate,"&gt;="&amp;BB$13,LeaveDate,"&lt;"&amp;BB$13+7)&gt;0,"AL",IF(COUNTIFS(LeaveName,'設定'!$B$12,LeaveType,"SL",LeaveDate,"&gt;="&amp;BB$13,LeaveDate,"&lt;"&amp;BB$13+7)&gt;0,"SL",IF('設定'!$C$12="S","S",IF('設定'!$C$12="R",IF(MOD(INT((BB$13-'設定'!$B$4)/7)+IF('設定'!$D$12="",0,'設定'!$D$12),16)&lt;4,"A",IF(MOD(INT((BB$13-'設定'!$B$4)/7)+IF('設定'!$D$12="",0,'設定'!$D$12),16)&lt;8,"P",IF(MOD(INT((BB$13-'設定'!$B$4)/7)+IF('設定'!$D$12="",0,'設定'!$D$12),16)&lt;12,"N","P"))),""))))))</f>
        <v/>
      </c>
      <c r="BC18" s="24">
        <f>IF(BC$13="","",IF('設定'!$B$12="","",IF(COUNTIFS(LeaveName,'設定'!$B$12,LeaveType,"AL",LeaveDate,"&gt;="&amp;BC$13,LeaveDate,"&lt;"&amp;BC$13+7)&gt;0,"AL",IF(COUNTIFS(LeaveName,'設定'!$B$12,LeaveType,"SL",LeaveDate,"&gt;="&amp;BC$13,LeaveDate,"&lt;"&amp;BC$13+7)&gt;0,"SL",IF('設定'!$C$12="S","S",IF('設定'!$C$12="R",IF(MOD(INT((BC$13-'設定'!$B$4)/7)+IF('設定'!$D$12="",0,'設定'!$D$12),16)&lt;4,"A",IF(MOD(INT((BC$13-'設定'!$B$4)/7)+IF('設定'!$D$12="",0,'設定'!$D$12),16)&lt;8,"P",IF(MOD(INT((BC$13-'設定'!$B$4)/7)+IF('設定'!$D$12="",0,'設定'!$D$12),16)&lt;12,"N","P"))),""))))))</f>
        <v/>
      </c>
      <c r="BD18" s="24">
        <f>IF(BD$13="","",IF('設定'!$B$12="","",IF(COUNTIFS(LeaveName,'設定'!$B$12,LeaveType,"AL",LeaveDate,"&gt;="&amp;BD$13,LeaveDate,"&lt;"&amp;BD$13+7)&gt;0,"AL",IF(COUNTIFS(LeaveName,'設定'!$B$12,LeaveType,"SL",LeaveDate,"&gt;="&amp;BD$13,LeaveDate,"&lt;"&amp;BD$13+7)&gt;0,"SL",IF('設定'!$C$12="S","S",IF('設定'!$C$12="R",IF(MOD(INT((BD$13-'設定'!$B$4)/7)+IF('設定'!$D$12="",0,'設定'!$D$12),16)&lt;4,"A",IF(MOD(INT((BD$13-'設定'!$B$4)/7)+IF('設定'!$D$12="",0,'設定'!$D$12),16)&lt;8,"P",IF(MOD(INT((BD$13-'設定'!$B$4)/7)+IF('設定'!$D$12="",0,'設定'!$D$12),16)&lt;12,"N","P"))),""))))))</f>
        <v/>
      </c>
      <c r="BE18" s="24">
        <f>IF(BE$13="","",IF('設定'!$B$12="","",IF(COUNTIFS(LeaveName,'設定'!$B$12,LeaveType,"AL",LeaveDate,"&gt;="&amp;BE$13,LeaveDate,"&lt;"&amp;BE$13+7)&gt;0,"AL",IF(COUNTIFS(LeaveName,'設定'!$B$12,LeaveType,"SL",LeaveDate,"&gt;="&amp;BE$13,LeaveDate,"&lt;"&amp;BE$13+7)&gt;0,"SL",IF('設定'!$C$12="S","S",IF('設定'!$C$12="R",IF(MOD(INT((BE$13-'設定'!$B$4)/7)+IF('設定'!$D$12="",0,'設定'!$D$12),16)&lt;4,"A",IF(MOD(INT((BE$13-'設定'!$B$4)/7)+IF('設定'!$D$12="",0,'設定'!$D$12),16)&lt;8,"P",IF(MOD(INT((BE$13-'設定'!$B$4)/7)+IF('設定'!$D$12="",0,'設定'!$D$12),16)&lt;12,"N","P"))),""))))))</f>
        <v/>
      </c>
      <c r="BF18" s="24">
        <f>IF(BF$13="","",IF('設定'!$B$12="","",IF(COUNTIFS(LeaveName,'設定'!$B$12,LeaveType,"AL",LeaveDate,"&gt;="&amp;BF$13,LeaveDate,"&lt;"&amp;BF$13+7)&gt;0,"AL",IF(COUNTIFS(LeaveName,'設定'!$B$12,LeaveType,"SL",LeaveDate,"&gt;="&amp;BF$13,LeaveDate,"&lt;"&amp;BF$13+7)&gt;0,"SL",IF('設定'!$C$12="S","S",IF('設定'!$C$12="R",IF(MOD(INT((BF$13-'設定'!$B$4)/7)+IF('設定'!$D$12="",0,'設定'!$D$12),16)&lt;4,"A",IF(MOD(INT((BF$13-'設定'!$B$4)/7)+IF('設定'!$D$12="",0,'設定'!$D$12),16)&lt;8,"P",IF(MOD(INT((BF$13-'設定'!$B$4)/7)+IF('設定'!$D$12="",0,'設定'!$D$12),16)&lt;12,"N","P"))),""))))))</f>
        <v/>
      </c>
      <c r="BG18" s="24">
        <f>IF(BG$13="","",IF('設定'!$B$12="","",IF(COUNTIFS(LeaveName,'設定'!$B$12,LeaveType,"AL",LeaveDate,"&gt;="&amp;BG$13,LeaveDate,"&lt;"&amp;BG$13+7)&gt;0,"AL",IF(COUNTIFS(LeaveName,'設定'!$B$12,LeaveType,"SL",LeaveDate,"&gt;="&amp;BG$13,LeaveDate,"&lt;"&amp;BG$13+7)&gt;0,"SL",IF('設定'!$C$12="S","S",IF('設定'!$C$12="R",IF(MOD(INT((BG$13-'設定'!$B$4)/7)+IF('設定'!$D$12="",0,'設定'!$D$12),16)&lt;4,"A",IF(MOD(INT((BG$13-'設定'!$B$4)/7)+IF('設定'!$D$12="",0,'設定'!$D$12),16)&lt;8,"P",IF(MOD(INT((BG$13-'設定'!$B$4)/7)+IF('設定'!$D$12="",0,'設定'!$D$12),16)&lt;12,"N","P"))),""))))))</f>
        <v/>
      </c>
    </row>
    <row r="19" ht="22" customHeight="1">
      <c r="A19" s="20">
        <f>'設定'!B13</f>
        <v/>
      </c>
      <c r="B19" s="23">
        <f>IF(A19="","",COUNTIFS(LeaveName,A19,LeaveType,"AL",LeaveDate,"&gt;="&amp;DATE('設定'!$B$3,1,1),LeaveDate,"&lt;="&amp;DATE('設定'!$B$3,12,31)))</f>
        <v/>
      </c>
      <c r="C19" s="23">
        <f>IF(A19="","",IF('設定'!E13="","",'設定'!E13-B19))</f>
        <v/>
      </c>
      <c r="D19" s="21">
        <f>IF(A19="","",E19+F19)</f>
        <v/>
      </c>
      <c r="E19" s="22" t="n"/>
      <c r="F19" s="23">
        <f>IF(A19="","",CompYear6)</f>
        <v/>
      </c>
      <c r="G19" s="24">
        <f>IF(G$13="","",IF('設定'!$B$13="","",IF(COUNTIFS(LeaveName,'設定'!$B$13,LeaveType,"AL",LeaveDate,"&gt;="&amp;G$13,LeaveDate,"&lt;"&amp;G$13+7)&gt;0,"AL",IF(COUNTIFS(LeaveName,'設定'!$B$13,LeaveType,"SL",LeaveDate,"&gt;="&amp;G$13,LeaveDate,"&lt;"&amp;G$13+7)&gt;0,"SL",IF('設定'!$C$13="S","S",IF('設定'!$C$13="R",IF(MOD(INT((G$13-'設定'!$B$4)/7)+IF('設定'!$D$13="",0,'設定'!$D$13),16)&lt;4,"A",IF(MOD(INT((G$13-'設定'!$B$4)/7)+IF('設定'!$D$13="",0,'設定'!$D$13),16)&lt;8,"P",IF(MOD(INT((G$13-'設定'!$B$4)/7)+IF('設定'!$D$13="",0,'設定'!$D$13),16)&lt;12,"N","P"))),""))))))</f>
        <v/>
      </c>
      <c r="H19" s="24">
        <f>IF(H$13="","",IF('設定'!$B$13="","",IF(COUNTIFS(LeaveName,'設定'!$B$13,LeaveType,"AL",LeaveDate,"&gt;="&amp;H$13,LeaveDate,"&lt;"&amp;H$13+7)&gt;0,"AL",IF(COUNTIFS(LeaveName,'設定'!$B$13,LeaveType,"SL",LeaveDate,"&gt;="&amp;H$13,LeaveDate,"&lt;"&amp;H$13+7)&gt;0,"SL",IF('設定'!$C$13="S","S",IF('設定'!$C$13="R",IF(MOD(INT((H$13-'設定'!$B$4)/7)+IF('設定'!$D$13="",0,'設定'!$D$13),16)&lt;4,"A",IF(MOD(INT((H$13-'設定'!$B$4)/7)+IF('設定'!$D$13="",0,'設定'!$D$13),16)&lt;8,"P",IF(MOD(INT((H$13-'設定'!$B$4)/7)+IF('設定'!$D$13="",0,'設定'!$D$13),16)&lt;12,"N","P"))),""))))))</f>
        <v/>
      </c>
      <c r="I19" s="24">
        <f>IF(I$13="","",IF('設定'!$B$13="","",IF(COUNTIFS(LeaveName,'設定'!$B$13,LeaveType,"AL",LeaveDate,"&gt;="&amp;I$13,LeaveDate,"&lt;"&amp;I$13+7)&gt;0,"AL",IF(COUNTIFS(LeaveName,'設定'!$B$13,LeaveType,"SL",LeaveDate,"&gt;="&amp;I$13,LeaveDate,"&lt;"&amp;I$13+7)&gt;0,"SL",IF('設定'!$C$13="S","S",IF('設定'!$C$13="R",IF(MOD(INT((I$13-'設定'!$B$4)/7)+IF('設定'!$D$13="",0,'設定'!$D$13),16)&lt;4,"A",IF(MOD(INT((I$13-'設定'!$B$4)/7)+IF('設定'!$D$13="",0,'設定'!$D$13),16)&lt;8,"P",IF(MOD(INT((I$13-'設定'!$B$4)/7)+IF('設定'!$D$13="",0,'設定'!$D$13),16)&lt;12,"N","P"))),""))))))</f>
        <v/>
      </c>
      <c r="J19" s="24">
        <f>IF(J$13="","",IF('設定'!$B$13="","",IF(COUNTIFS(LeaveName,'設定'!$B$13,LeaveType,"AL",LeaveDate,"&gt;="&amp;J$13,LeaveDate,"&lt;"&amp;J$13+7)&gt;0,"AL",IF(COUNTIFS(LeaveName,'設定'!$B$13,LeaveType,"SL",LeaveDate,"&gt;="&amp;J$13,LeaveDate,"&lt;"&amp;J$13+7)&gt;0,"SL",IF('設定'!$C$13="S","S",IF('設定'!$C$13="R",IF(MOD(INT((J$13-'設定'!$B$4)/7)+IF('設定'!$D$13="",0,'設定'!$D$13),16)&lt;4,"A",IF(MOD(INT((J$13-'設定'!$B$4)/7)+IF('設定'!$D$13="",0,'設定'!$D$13),16)&lt;8,"P",IF(MOD(INT((J$13-'設定'!$B$4)/7)+IF('設定'!$D$13="",0,'設定'!$D$13),16)&lt;12,"N","P"))),""))))))</f>
        <v/>
      </c>
      <c r="K19" s="24">
        <f>IF(K$13="","",IF('設定'!$B$13="","",IF(COUNTIFS(LeaveName,'設定'!$B$13,LeaveType,"AL",LeaveDate,"&gt;="&amp;K$13,LeaveDate,"&lt;"&amp;K$13+7)&gt;0,"AL",IF(COUNTIFS(LeaveName,'設定'!$B$13,LeaveType,"SL",LeaveDate,"&gt;="&amp;K$13,LeaveDate,"&lt;"&amp;K$13+7)&gt;0,"SL",IF('設定'!$C$13="S","S",IF('設定'!$C$13="R",IF(MOD(INT((K$13-'設定'!$B$4)/7)+IF('設定'!$D$13="",0,'設定'!$D$13),16)&lt;4,"A",IF(MOD(INT((K$13-'設定'!$B$4)/7)+IF('設定'!$D$13="",0,'設定'!$D$13),16)&lt;8,"P",IF(MOD(INT((K$13-'設定'!$B$4)/7)+IF('設定'!$D$13="",0,'設定'!$D$13),16)&lt;12,"N","P"))),""))))))</f>
        <v/>
      </c>
      <c r="L19" s="24">
        <f>IF(L$13="","",IF('設定'!$B$13="","",IF(COUNTIFS(LeaveName,'設定'!$B$13,LeaveType,"AL",LeaveDate,"&gt;="&amp;L$13,LeaveDate,"&lt;"&amp;L$13+7)&gt;0,"AL",IF(COUNTIFS(LeaveName,'設定'!$B$13,LeaveType,"SL",LeaveDate,"&gt;="&amp;L$13,LeaveDate,"&lt;"&amp;L$13+7)&gt;0,"SL",IF('設定'!$C$13="S","S",IF('設定'!$C$13="R",IF(MOD(INT((L$13-'設定'!$B$4)/7)+IF('設定'!$D$13="",0,'設定'!$D$13),16)&lt;4,"A",IF(MOD(INT((L$13-'設定'!$B$4)/7)+IF('設定'!$D$13="",0,'設定'!$D$13),16)&lt;8,"P",IF(MOD(INT((L$13-'設定'!$B$4)/7)+IF('設定'!$D$13="",0,'設定'!$D$13),16)&lt;12,"N","P"))),""))))))</f>
        <v/>
      </c>
      <c r="M19" s="24">
        <f>IF(M$13="","",IF('設定'!$B$13="","",IF(COUNTIFS(LeaveName,'設定'!$B$13,LeaveType,"AL",LeaveDate,"&gt;="&amp;M$13,LeaveDate,"&lt;"&amp;M$13+7)&gt;0,"AL",IF(COUNTIFS(LeaveName,'設定'!$B$13,LeaveType,"SL",LeaveDate,"&gt;="&amp;M$13,LeaveDate,"&lt;"&amp;M$13+7)&gt;0,"SL",IF('設定'!$C$13="S","S",IF('設定'!$C$13="R",IF(MOD(INT((M$13-'設定'!$B$4)/7)+IF('設定'!$D$13="",0,'設定'!$D$13),16)&lt;4,"A",IF(MOD(INT((M$13-'設定'!$B$4)/7)+IF('設定'!$D$13="",0,'設定'!$D$13),16)&lt;8,"P",IF(MOD(INT((M$13-'設定'!$B$4)/7)+IF('設定'!$D$13="",0,'設定'!$D$13),16)&lt;12,"N","P"))),""))))))</f>
        <v/>
      </c>
      <c r="N19" s="24">
        <f>IF(N$13="","",IF('設定'!$B$13="","",IF(COUNTIFS(LeaveName,'設定'!$B$13,LeaveType,"AL",LeaveDate,"&gt;="&amp;N$13,LeaveDate,"&lt;"&amp;N$13+7)&gt;0,"AL",IF(COUNTIFS(LeaveName,'設定'!$B$13,LeaveType,"SL",LeaveDate,"&gt;="&amp;N$13,LeaveDate,"&lt;"&amp;N$13+7)&gt;0,"SL",IF('設定'!$C$13="S","S",IF('設定'!$C$13="R",IF(MOD(INT((N$13-'設定'!$B$4)/7)+IF('設定'!$D$13="",0,'設定'!$D$13),16)&lt;4,"A",IF(MOD(INT((N$13-'設定'!$B$4)/7)+IF('設定'!$D$13="",0,'設定'!$D$13),16)&lt;8,"P",IF(MOD(INT((N$13-'設定'!$B$4)/7)+IF('設定'!$D$13="",0,'設定'!$D$13),16)&lt;12,"N","P"))),""))))))</f>
        <v/>
      </c>
      <c r="O19" s="24">
        <f>IF(O$13="","",IF('設定'!$B$13="","",IF(COUNTIFS(LeaveName,'設定'!$B$13,LeaveType,"AL",LeaveDate,"&gt;="&amp;O$13,LeaveDate,"&lt;"&amp;O$13+7)&gt;0,"AL",IF(COUNTIFS(LeaveName,'設定'!$B$13,LeaveType,"SL",LeaveDate,"&gt;="&amp;O$13,LeaveDate,"&lt;"&amp;O$13+7)&gt;0,"SL",IF('設定'!$C$13="S","S",IF('設定'!$C$13="R",IF(MOD(INT((O$13-'設定'!$B$4)/7)+IF('設定'!$D$13="",0,'設定'!$D$13),16)&lt;4,"A",IF(MOD(INT((O$13-'設定'!$B$4)/7)+IF('設定'!$D$13="",0,'設定'!$D$13),16)&lt;8,"P",IF(MOD(INT((O$13-'設定'!$B$4)/7)+IF('設定'!$D$13="",0,'設定'!$D$13),16)&lt;12,"N","P"))),""))))))</f>
        <v/>
      </c>
      <c r="P19" s="24">
        <f>IF(P$13="","",IF('設定'!$B$13="","",IF(COUNTIFS(LeaveName,'設定'!$B$13,LeaveType,"AL",LeaveDate,"&gt;="&amp;P$13,LeaveDate,"&lt;"&amp;P$13+7)&gt;0,"AL",IF(COUNTIFS(LeaveName,'設定'!$B$13,LeaveType,"SL",LeaveDate,"&gt;="&amp;P$13,LeaveDate,"&lt;"&amp;P$13+7)&gt;0,"SL",IF('設定'!$C$13="S","S",IF('設定'!$C$13="R",IF(MOD(INT((P$13-'設定'!$B$4)/7)+IF('設定'!$D$13="",0,'設定'!$D$13),16)&lt;4,"A",IF(MOD(INT((P$13-'設定'!$B$4)/7)+IF('設定'!$D$13="",0,'設定'!$D$13),16)&lt;8,"P",IF(MOD(INT((P$13-'設定'!$B$4)/7)+IF('設定'!$D$13="",0,'設定'!$D$13),16)&lt;12,"N","P"))),""))))))</f>
        <v/>
      </c>
      <c r="Q19" s="24">
        <f>IF(Q$13="","",IF('設定'!$B$13="","",IF(COUNTIFS(LeaveName,'設定'!$B$13,LeaveType,"AL",LeaveDate,"&gt;="&amp;Q$13,LeaveDate,"&lt;"&amp;Q$13+7)&gt;0,"AL",IF(COUNTIFS(LeaveName,'設定'!$B$13,LeaveType,"SL",LeaveDate,"&gt;="&amp;Q$13,LeaveDate,"&lt;"&amp;Q$13+7)&gt;0,"SL",IF('設定'!$C$13="S","S",IF('設定'!$C$13="R",IF(MOD(INT((Q$13-'設定'!$B$4)/7)+IF('設定'!$D$13="",0,'設定'!$D$13),16)&lt;4,"A",IF(MOD(INT((Q$13-'設定'!$B$4)/7)+IF('設定'!$D$13="",0,'設定'!$D$13),16)&lt;8,"P",IF(MOD(INT((Q$13-'設定'!$B$4)/7)+IF('設定'!$D$13="",0,'設定'!$D$13),16)&lt;12,"N","P"))),""))))))</f>
        <v/>
      </c>
      <c r="R19" s="24">
        <f>IF(R$13="","",IF('設定'!$B$13="","",IF(COUNTIFS(LeaveName,'設定'!$B$13,LeaveType,"AL",LeaveDate,"&gt;="&amp;R$13,LeaveDate,"&lt;"&amp;R$13+7)&gt;0,"AL",IF(COUNTIFS(LeaveName,'設定'!$B$13,LeaveType,"SL",LeaveDate,"&gt;="&amp;R$13,LeaveDate,"&lt;"&amp;R$13+7)&gt;0,"SL",IF('設定'!$C$13="S","S",IF('設定'!$C$13="R",IF(MOD(INT((R$13-'設定'!$B$4)/7)+IF('設定'!$D$13="",0,'設定'!$D$13),16)&lt;4,"A",IF(MOD(INT((R$13-'設定'!$B$4)/7)+IF('設定'!$D$13="",0,'設定'!$D$13),16)&lt;8,"P",IF(MOD(INT((R$13-'設定'!$B$4)/7)+IF('設定'!$D$13="",0,'設定'!$D$13),16)&lt;12,"N","P"))),""))))))</f>
        <v/>
      </c>
      <c r="S19" s="24">
        <f>IF(S$13="","",IF('設定'!$B$13="","",IF(COUNTIFS(LeaveName,'設定'!$B$13,LeaveType,"AL",LeaveDate,"&gt;="&amp;S$13,LeaveDate,"&lt;"&amp;S$13+7)&gt;0,"AL",IF(COUNTIFS(LeaveName,'設定'!$B$13,LeaveType,"SL",LeaveDate,"&gt;="&amp;S$13,LeaveDate,"&lt;"&amp;S$13+7)&gt;0,"SL",IF('設定'!$C$13="S","S",IF('設定'!$C$13="R",IF(MOD(INT((S$13-'設定'!$B$4)/7)+IF('設定'!$D$13="",0,'設定'!$D$13),16)&lt;4,"A",IF(MOD(INT((S$13-'設定'!$B$4)/7)+IF('設定'!$D$13="",0,'設定'!$D$13),16)&lt;8,"P",IF(MOD(INT((S$13-'設定'!$B$4)/7)+IF('設定'!$D$13="",0,'設定'!$D$13),16)&lt;12,"N","P"))),""))))))</f>
        <v/>
      </c>
      <c r="T19" s="24">
        <f>IF(T$13="","",IF('設定'!$B$13="","",IF(COUNTIFS(LeaveName,'設定'!$B$13,LeaveType,"AL",LeaveDate,"&gt;="&amp;T$13,LeaveDate,"&lt;"&amp;T$13+7)&gt;0,"AL",IF(COUNTIFS(LeaveName,'設定'!$B$13,LeaveType,"SL",LeaveDate,"&gt;="&amp;T$13,LeaveDate,"&lt;"&amp;T$13+7)&gt;0,"SL",IF('設定'!$C$13="S","S",IF('設定'!$C$13="R",IF(MOD(INT((T$13-'設定'!$B$4)/7)+IF('設定'!$D$13="",0,'設定'!$D$13),16)&lt;4,"A",IF(MOD(INT((T$13-'設定'!$B$4)/7)+IF('設定'!$D$13="",0,'設定'!$D$13),16)&lt;8,"P",IF(MOD(INT((T$13-'設定'!$B$4)/7)+IF('設定'!$D$13="",0,'設定'!$D$13),16)&lt;12,"N","P"))),""))))))</f>
        <v/>
      </c>
      <c r="U19" s="24">
        <f>IF(U$13="","",IF('設定'!$B$13="","",IF(COUNTIFS(LeaveName,'設定'!$B$13,LeaveType,"AL",LeaveDate,"&gt;="&amp;U$13,LeaveDate,"&lt;"&amp;U$13+7)&gt;0,"AL",IF(COUNTIFS(LeaveName,'設定'!$B$13,LeaveType,"SL",LeaveDate,"&gt;="&amp;U$13,LeaveDate,"&lt;"&amp;U$13+7)&gt;0,"SL",IF('設定'!$C$13="S","S",IF('設定'!$C$13="R",IF(MOD(INT((U$13-'設定'!$B$4)/7)+IF('設定'!$D$13="",0,'設定'!$D$13),16)&lt;4,"A",IF(MOD(INT((U$13-'設定'!$B$4)/7)+IF('設定'!$D$13="",0,'設定'!$D$13),16)&lt;8,"P",IF(MOD(INT((U$13-'設定'!$B$4)/7)+IF('設定'!$D$13="",0,'設定'!$D$13),16)&lt;12,"N","P"))),""))))))</f>
        <v/>
      </c>
      <c r="V19" s="24">
        <f>IF(V$13="","",IF('設定'!$B$13="","",IF(COUNTIFS(LeaveName,'設定'!$B$13,LeaveType,"AL",LeaveDate,"&gt;="&amp;V$13,LeaveDate,"&lt;"&amp;V$13+7)&gt;0,"AL",IF(COUNTIFS(LeaveName,'設定'!$B$13,LeaveType,"SL",LeaveDate,"&gt;="&amp;V$13,LeaveDate,"&lt;"&amp;V$13+7)&gt;0,"SL",IF('設定'!$C$13="S","S",IF('設定'!$C$13="R",IF(MOD(INT((V$13-'設定'!$B$4)/7)+IF('設定'!$D$13="",0,'設定'!$D$13),16)&lt;4,"A",IF(MOD(INT((V$13-'設定'!$B$4)/7)+IF('設定'!$D$13="",0,'設定'!$D$13),16)&lt;8,"P",IF(MOD(INT((V$13-'設定'!$B$4)/7)+IF('設定'!$D$13="",0,'設定'!$D$13),16)&lt;12,"N","P"))),""))))))</f>
        <v/>
      </c>
      <c r="W19" s="24">
        <f>IF(W$13="","",IF('設定'!$B$13="","",IF(COUNTIFS(LeaveName,'設定'!$B$13,LeaveType,"AL",LeaveDate,"&gt;="&amp;W$13,LeaveDate,"&lt;"&amp;W$13+7)&gt;0,"AL",IF(COUNTIFS(LeaveName,'設定'!$B$13,LeaveType,"SL",LeaveDate,"&gt;="&amp;W$13,LeaveDate,"&lt;"&amp;W$13+7)&gt;0,"SL",IF('設定'!$C$13="S","S",IF('設定'!$C$13="R",IF(MOD(INT((W$13-'設定'!$B$4)/7)+IF('設定'!$D$13="",0,'設定'!$D$13),16)&lt;4,"A",IF(MOD(INT((W$13-'設定'!$B$4)/7)+IF('設定'!$D$13="",0,'設定'!$D$13),16)&lt;8,"P",IF(MOD(INT((W$13-'設定'!$B$4)/7)+IF('設定'!$D$13="",0,'設定'!$D$13),16)&lt;12,"N","P"))),""))))))</f>
        <v/>
      </c>
      <c r="X19" s="24">
        <f>IF(X$13="","",IF('設定'!$B$13="","",IF(COUNTIFS(LeaveName,'設定'!$B$13,LeaveType,"AL",LeaveDate,"&gt;="&amp;X$13,LeaveDate,"&lt;"&amp;X$13+7)&gt;0,"AL",IF(COUNTIFS(LeaveName,'設定'!$B$13,LeaveType,"SL",LeaveDate,"&gt;="&amp;X$13,LeaveDate,"&lt;"&amp;X$13+7)&gt;0,"SL",IF('設定'!$C$13="S","S",IF('設定'!$C$13="R",IF(MOD(INT((X$13-'設定'!$B$4)/7)+IF('設定'!$D$13="",0,'設定'!$D$13),16)&lt;4,"A",IF(MOD(INT((X$13-'設定'!$B$4)/7)+IF('設定'!$D$13="",0,'設定'!$D$13),16)&lt;8,"P",IF(MOD(INT((X$13-'設定'!$B$4)/7)+IF('設定'!$D$13="",0,'設定'!$D$13),16)&lt;12,"N","P"))),""))))))</f>
        <v/>
      </c>
      <c r="Y19" s="24">
        <f>IF(Y$13="","",IF('設定'!$B$13="","",IF(COUNTIFS(LeaveName,'設定'!$B$13,LeaveType,"AL",LeaveDate,"&gt;="&amp;Y$13,LeaveDate,"&lt;"&amp;Y$13+7)&gt;0,"AL",IF(COUNTIFS(LeaveName,'設定'!$B$13,LeaveType,"SL",LeaveDate,"&gt;="&amp;Y$13,LeaveDate,"&lt;"&amp;Y$13+7)&gt;0,"SL",IF('設定'!$C$13="S","S",IF('設定'!$C$13="R",IF(MOD(INT((Y$13-'設定'!$B$4)/7)+IF('設定'!$D$13="",0,'設定'!$D$13),16)&lt;4,"A",IF(MOD(INT((Y$13-'設定'!$B$4)/7)+IF('設定'!$D$13="",0,'設定'!$D$13),16)&lt;8,"P",IF(MOD(INT((Y$13-'設定'!$B$4)/7)+IF('設定'!$D$13="",0,'設定'!$D$13),16)&lt;12,"N","P"))),""))))))</f>
        <v/>
      </c>
      <c r="Z19" s="24">
        <f>IF(Z$13="","",IF('設定'!$B$13="","",IF(COUNTIFS(LeaveName,'設定'!$B$13,LeaveType,"AL",LeaveDate,"&gt;="&amp;Z$13,LeaveDate,"&lt;"&amp;Z$13+7)&gt;0,"AL",IF(COUNTIFS(LeaveName,'設定'!$B$13,LeaveType,"SL",LeaveDate,"&gt;="&amp;Z$13,LeaveDate,"&lt;"&amp;Z$13+7)&gt;0,"SL",IF('設定'!$C$13="S","S",IF('設定'!$C$13="R",IF(MOD(INT((Z$13-'設定'!$B$4)/7)+IF('設定'!$D$13="",0,'設定'!$D$13),16)&lt;4,"A",IF(MOD(INT((Z$13-'設定'!$B$4)/7)+IF('設定'!$D$13="",0,'設定'!$D$13),16)&lt;8,"P",IF(MOD(INT((Z$13-'設定'!$B$4)/7)+IF('設定'!$D$13="",0,'設定'!$D$13),16)&lt;12,"N","P"))),""))))))</f>
        <v/>
      </c>
      <c r="AA19" s="24">
        <f>IF(AA$13="","",IF('設定'!$B$13="","",IF(COUNTIFS(LeaveName,'設定'!$B$13,LeaveType,"AL",LeaveDate,"&gt;="&amp;AA$13,LeaveDate,"&lt;"&amp;AA$13+7)&gt;0,"AL",IF(COUNTIFS(LeaveName,'設定'!$B$13,LeaveType,"SL",LeaveDate,"&gt;="&amp;AA$13,LeaveDate,"&lt;"&amp;AA$13+7)&gt;0,"SL",IF('設定'!$C$13="S","S",IF('設定'!$C$13="R",IF(MOD(INT((AA$13-'設定'!$B$4)/7)+IF('設定'!$D$13="",0,'設定'!$D$13),16)&lt;4,"A",IF(MOD(INT((AA$13-'設定'!$B$4)/7)+IF('設定'!$D$13="",0,'設定'!$D$13),16)&lt;8,"P",IF(MOD(INT((AA$13-'設定'!$B$4)/7)+IF('設定'!$D$13="",0,'設定'!$D$13),16)&lt;12,"N","P"))),""))))))</f>
        <v/>
      </c>
      <c r="AB19" s="24">
        <f>IF(AB$13="","",IF('設定'!$B$13="","",IF(COUNTIFS(LeaveName,'設定'!$B$13,LeaveType,"AL",LeaveDate,"&gt;="&amp;AB$13,LeaveDate,"&lt;"&amp;AB$13+7)&gt;0,"AL",IF(COUNTIFS(LeaveName,'設定'!$B$13,LeaveType,"SL",LeaveDate,"&gt;="&amp;AB$13,LeaveDate,"&lt;"&amp;AB$13+7)&gt;0,"SL",IF('設定'!$C$13="S","S",IF('設定'!$C$13="R",IF(MOD(INT((AB$13-'設定'!$B$4)/7)+IF('設定'!$D$13="",0,'設定'!$D$13),16)&lt;4,"A",IF(MOD(INT((AB$13-'設定'!$B$4)/7)+IF('設定'!$D$13="",0,'設定'!$D$13),16)&lt;8,"P",IF(MOD(INT((AB$13-'設定'!$B$4)/7)+IF('設定'!$D$13="",0,'設定'!$D$13),16)&lt;12,"N","P"))),""))))))</f>
        <v/>
      </c>
      <c r="AC19" s="24">
        <f>IF(AC$13="","",IF('設定'!$B$13="","",IF(COUNTIFS(LeaveName,'設定'!$B$13,LeaveType,"AL",LeaveDate,"&gt;="&amp;AC$13,LeaveDate,"&lt;"&amp;AC$13+7)&gt;0,"AL",IF(COUNTIFS(LeaveName,'設定'!$B$13,LeaveType,"SL",LeaveDate,"&gt;="&amp;AC$13,LeaveDate,"&lt;"&amp;AC$13+7)&gt;0,"SL",IF('設定'!$C$13="S","S",IF('設定'!$C$13="R",IF(MOD(INT((AC$13-'設定'!$B$4)/7)+IF('設定'!$D$13="",0,'設定'!$D$13),16)&lt;4,"A",IF(MOD(INT((AC$13-'設定'!$B$4)/7)+IF('設定'!$D$13="",0,'設定'!$D$13),16)&lt;8,"P",IF(MOD(INT((AC$13-'設定'!$B$4)/7)+IF('設定'!$D$13="",0,'設定'!$D$13),16)&lt;12,"N","P"))),""))))))</f>
        <v/>
      </c>
      <c r="AD19" s="24">
        <f>IF(AD$13="","",IF('設定'!$B$13="","",IF(COUNTIFS(LeaveName,'設定'!$B$13,LeaveType,"AL",LeaveDate,"&gt;="&amp;AD$13,LeaveDate,"&lt;"&amp;AD$13+7)&gt;0,"AL",IF(COUNTIFS(LeaveName,'設定'!$B$13,LeaveType,"SL",LeaveDate,"&gt;="&amp;AD$13,LeaveDate,"&lt;"&amp;AD$13+7)&gt;0,"SL",IF('設定'!$C$13="S","S",IF('設定'!$C$13="R",IF(MOD(INT((AD$13-'設定'!$B$4)/7)+IF('設定'!$D$13="",0,'設定'!$D$13),16)&lt;4,"A",IF(MOD(INT((AD$13-'設定'!$B$4)/7)+IF('設定'!$D$13="",0,'設定'!$D$13),16)&lt;8,"P",IF(MOD(INT((AD$13-'設定'!$B$4)/7)+IF('設定'!$D$13="",0,'設定'!$D$13),16)&lt;12,"N","P"))),""))))))</f>
        <v/>
      </c>
      <c r="AE19" s="24">
        <f>IF(AE$13="","",IF('設定'!$B$13="","",IF(COUNTIFS(LeaveName,'設定'!$B$13,LeaveType,"AL",LeaveDate,"&gt;="&amp;AE$13,LeaveDate,"&lt;"&amp;AE$13+7)&gt;0,"AL",IF(COUNTIFS(LeaveName,'設定'!$B$13,LeaveType,"SL",LeaveDate,"&gt;="&amp;AE$13,LeaveDate,"&lt;"&amp;AE$13+7)&gt;0,"SL",IF('設定'!$C$13="S","S",IF('設定'!$C$13="R",IF(MOD(INT((AE$13-'設定'!$B$4)/7)+IF('設定'!$D$13="",0,'設定'!$D$13),16)&lt;4,"A",IF(MOD(INT((AE$13-'設定'!$B$4)/7)+IF('設定'!$D$13="",0,'設定'!$D$13),16)&lt;8,"P",IF(MOD(INT((AE$13-'設定'!$B$4)/7)+IF('設定'!$D$13="",0,'設定'!$D$13),16)&lt;12,"N","P"))),""))))))</f>
        <v/>
      </c>
      <c r="AF19" s="24">
        <f>IF(AF$13="","",IF('設定'!$B$13="","",IF(COUNTIFS(LeaveName,'設定'!$B$13,LeaveType,"AL",LeaveDate,"&gt;="&amp;AF$13,LeaveDate,"&lt;"&amp;AF$13+7)&gt;0,"AL",IF(COUNTIFS(LeaveName,'設定'!$B$13,LeaveType,"SL",LeaveDate,"&gt;="&amp;AF$13,LeaveDate,"&lt;"&amp;AF$13+7)&gt;0,"SL",IF('設定'!$C$13="S","S",IF('設定'!$C$13="R",IF(MOD(INT((AF$13-'設定'!$B$4)/7)+IF('設定'!$D$13="",0,'設定'!$D$13),16)&lt;4,"A",IF(MOD(INT((AF$13-'設定'!$B$4)/7)+IF('設定'!$D$13="",0,'設定'!$D$13),16)&lt;8,"P",IF(MOD(INT((AF$13-'設定'!$B$4)/7)+IF('設定'!$D$13="",0,'設定'!$D$13),16)&lt;12,"N","P"))),""))))))</f>
        <v/>
      </c>
      <c r="AG19" s="24">
        <f>IF(AG$13="","",IF('設定'!$B$13="","",IF(COUNTIFS(LeaveName,'設定'!$B$13,LeaveType,"AL",LeaveDate,"&gt;="&amp;AG$13,LeaveDate,"&lt;"&amp;AG$13+7)&gt;0,"AL",IF(COUNTIFS(LeaveName,'設定'!$B$13,LeaveType,"SL",LeaveDate,"&gt;="&amp;AG$13,LeaveDate,"&lt;"&amp;AG$13+7)&gt;0,"SL",IF('設定'!$C$13="S","S",IF('設定'!$C$13="R",IF(MOD(INT((AG$13-'設定'!$B$4)/7)+IF('設定'!$D$13="",0,'設定'!$D$13),16)&lt;4,"A",IF(MOD(INT((AG$13-'設定'!$B$4)/7)+IF('設定'!$D$13="",0,'設定'!$D$13),16)&lt;8,"P",IF(MOD(INT((AG$13-'設定'!$B$4)/7)+IF('設定'!$D$13="",0,'設定'!$D$13),16)&lt;12,"N","P"))),""))))))</f>
        <v/>
      </c>
      <c r="AH19" s="24">
        <f>IF(AH$13="","",IF('設定'!$B$13="","",IF(COUNTIFS(LeaveName,'設定'!$B$13,LeaveType,"AL",LeaveDate,"&gt;="&amp;AH$13,LeaveDate,"&lt;"&amp;AH$13+7)&gt;0,"AL",IF(COUNTIFS(LeaveName,'設定'!$B$13,LeaveType,"SL",LeaveDate,"&gt;="&amp;AH$13,LeaveDate,"&lt;"&amp;AH$13+7)&gt;0,"SL",IF('設定'!$C$13="S","S",IF('設定'!$C$13="R",IF(MOD(INT((AH$13-'設定'!$B$4)/7)+IF('設定'!$D$13="",0,'設定'!$D$13),16)&lt;4,"A",IF(MOD(INT((AH$13-'設定'!$B$4)/7)+IF('設定'!$D$13="",0,'設定'!$D$13),16)&lt;8,"P",IF(MOD(INT((AH$13-'設定'!$B$4)/7)+IF('設定'!$D$13="",0,'設定'!$D$13),16)&lt;12,"N","P"))),""))))))</f>
        <v/>
      </c>
      <c r="AI19" s="24">
        <f>IF(AI$13="","",IF('設定'!$B$13="","",IF(COUNTIFS(LeaveName,'設定'!$B$13,LeaveType,"AL",LeaveDate,"&gt;="&amp;AI$13,LeaveDate,"&lt;"&amp;AI$13+7)&gt;0,"AL",IF(COUNTIFS(LeaveName,'設定'!$B$13,LeaveType,"SL",LeaveDate,"&gt;="&amp;AI$13,LeaveDate,"&lt;"&amp;AI$13+7)&gt;0,"SL",IF('設定'!$C$13="S","S",IF('設定'!$C$13="R",IF(MOD(INT((AI$13-'設定'!$B$4)/7)+IF('設定'!$D$13="",0,'設定'!$D$13),16)&lt;4,"A",IF(MOD(INT((AI$13-'設定'!$B$4)/7)+IF('設定'!$D$13="",0,'設定'!$D$13),16)&lt;8,"P",IF(MOD(INT((AI$13-'設定'!$B$4)/7)+IF('設定'!$D$13="",0,'設定'!$D$13),16)&lt;12,"N","P"))),""))))))</f>
        <v/>
      </c>
      <c r="AJ19" s="24">
        <f>IF(AJ$13="","",IF('設定'!$B$13="","",IF(COUNTIFS(LeaveName,'設定'!$B$13,LeaveType,"AL",LeaveDate,"&gt;="&amp;AJ$13,LeaveDate,"&lt;"&amp;AJ$13+7)&gt;0,"AL",IF(COUNTIFS(LeaveName,'設定'!$B$13,LeaveType,"SL",LeaveDate,"&gt;="&amp;AJ$13,LeaveDate,"&lt;"&amp;AJ$13+7)&gt;0,"SL",IF('設定'!$C$13="S","S",IF('設定'!$C$13="R",IF(MOD(INT((AJ$13-'設定'!$B$4)/7)+IF('設定'!$D$13="",0,'設定'!$D$13),16)&lt;4,"A",IF(MOD(INT((AJ$13-'設定'!$B$4)/7)+IF('設定'!$D$13="",0,'設定'!$D$13),16)&lt;8,"P",IF(MOD(INT((AJ$13-'設定'!$B$4)/7)+IF('設定'!$D$13="",0,'設定'!$D$13),16)&lt;12,"N","P"))),""))))))</f>
        <v/>
      </c>
      <c r="AK19" s="24">
        <f>IF(AK$13="","",IF('設定'!$B$13="","",IF(COUNTIFS(LeaveName,'設定'!$B$13,LeaveType,"AL",LeaveDate,"&gt;="&amp;AK$13,LeaveDate,"&lt;"&amp;AK$13+7)&gt;0,"AL",IF(COUNTIFS(LeaveName,'設定'!$B$13,LeaveType,"SL",LeaveDate,"&gt;="&amp;AK$13,LeaveDate,"&lt;"&amp;AK$13+7)&gt;0,"SL",IF('設定'!$C$13="S","S",IF('設定'!$C$13="R",IF(MOD(INT((AK$13-'設定'!$B$4)/7)+IF('設定'!$D$13="",0,'設定'!$D$13),16)&lt;4,"A",IF(MOD(INT((AK$13-'設定'!$B$4)/7)+IF('設定'!$D$13="",0,'設定'!$D$13),16)&lt;8,"P",IF(MOD(INT((AK$13-'設定'!$B$4)/7)+IF('設定'!$D$13="",0,'設定'!$D$13),16)&lt;12,"N","P"))),""))))))</f>
        <v/>
      </c>
      <c r="AL19" s="24">
        <f>IF(AL$13="","",IF('設定'!$B$13="","",IF(COUNTIFS(LeaveName,'設定'!$B$13,LeaveType,"AL",LeaveDate,"&gt;="&amp;AL$13,LeaveDate,"&lt;"&amp;AL$13+7)&gt;0,"AL",IF(COUNTIFS(LeaveName,'設定'!$B$13,LeaveType,"SL",LeaveDate,"&gt;="&amp;AL$13,LeaveDate,"&lt;"&amp;AL$13+7)&gt;0,"SL",IF('設定'!$C$13="S","S",IF('設定'!$C$13="R",IF(MOD(INT((AL$13-'設定'!$B$4)/7)+IF('設定'!$D$13="",0,'設定'!$D$13),16)&lt;4,"A",IF(MOD(INT((AL$13-'設定'!$B$4)/7)+IF('設定'!$D$13="",0,'設定'!$D$13),16)&lt;8,"P",IF(MOD(INT((AL$13-'設定'!$B$4)/7)+IF('設定'!$D$13="",0,'設定'!$D$13),16)&lt;12,"N","P"))),""))))))</f>
        <v/>
      </c>
      <c r="AM19" s="24">
        <f>IF(AM$13="","",IF('設定'!$B$13="","",IF(COUNTIFS(LeaveName,'設定'!$B$13,LeaveType,"AL",LeaveDate,"&gt;="&amp;AM$13,LeaveDate,"&lt;"&amp;AM$13+7)&gt;0,"AL",IF(COUNTIFS(LeaveName,'設定'!$B$13,LeaveType,"SL",LeaveDate,"&gt;="&amp;AM$13,LeaveDate,"&lt;"&amp;AM$13+7)&gt;0,"SL",IF('設定'!$C$13="S","S",IF('設定'!$C$13="R",IF(MOD(INT((AM$13-'設定'!$B$4)/7)+IF('設定'!$D$13="",0,'設定'!$D$13),16)&lt;4,"A",IF(MOD(INT((AM$13-'設定'!$B$4)/7)+IF('設定'!$D$13="",0,'設定'!$D$13),16)&lt;8,"P",IF(MOD(INT((AM$13-'設定'!$B$4)/7)+IF('設定'!$D$13="",0,'設定'!$D$13),16)&lt;12,"N","P"))),""))))))</f>
        <v/>
      </c>
      <c r="AN19" s="24">
        <f>IF(AN$13="","",IF('設定'!$B$13="","",IF(COUNTIFS(LeaveName,'設定'!$B$13,LeaveType,"AL",LeaveDate,"&gt;="&amp;AN$13,LeaveDate,"&lt;"&amp;AN$13+7)&gt;0,"AL",IF(COUNTIFS(LeaveName,'設定'!$B$13,LeaveType,"SL",LeaveDate,"&gt;="&amp;AN$13,LeaveDate,"&lt;"&amp;AN$13+7)&gt;0,"SL",IF('設定'!$C$13="S","S",IF('設定'!$C$13="R",IF(MOD(INT((AN$13-'設定'!$B$4)/7)+IF('設定'!$D$13="",0,'設定'!$D$13),16)&lt;4,"A",IF(MOD(INT((AN$13-'設定'!$B$4)/7)+IF('設定'!$D$13="",0,'設定'!$D$13),16)&lt;8,"P",IF(MOD(INT((AN$13-'設定'!$B$4)/7)+IF('設定'!$D$13="",0,'設定'!$D$13),16)&lt;12,"N","P"))),""))))))</f>
        <v/>
      </c>
      <c r="AO19" s="24">
        <f>IF(AO$13="","",IF('設定'!$B$13="","",IF(COUNTIFS(LeaveName,'設定'!$B$13,LeaveType,"AL",LeaveDate,"&gt;="&amp;AO$13,LeaveDate,"&lt;"&amp;AO$13+7)&gt;0,"AL",IF(COUNTIFS(LeaveName,'設定'!$B$13,LeaveType,"SL",LeaveDate,"&gt;="&amp;AO$13,LeaveDate,"&lt;"&amp;AO$13+7)&gt;0,"SL",IF('設定'!$C$13="S","S",IF('設定'!$C$13="R",IF(MOD(INT((AO$13-'設定'!$B$4)/7)+IF('設定'!$D$13="",0,'設定'!$D$13),16)&lt;4,"A",IF(MOD(INT((AO$13-'設定'!$B$4)/7)+IF('設定'!$D$13="",0,'設定'!$D$13),16)&lt;8,"P",IF(MOD(INT((AO$13-'設定'!$B$4)/7)+IF('設定'!$D$13="",0,'設定'!$D$13),16)&lt;12,"N","P"))),""))))))</f>
        <v/>
      </c>
      <c r="AP19" s="24">
        <f>IF(AP$13="","",IF('設定'!$B$13="","",IF(COUNTIFS(LeaveName,'設定'!$B$13,LeaveType,"AL",LeaveDate,"&gt;="&amp;AP$13,LeaveDate,"&lt;"&amp;AP$13+7)&gt;0,"AL",IF(COUNTIFS(LeaveName,'設定'!$B$13,LeaveType,"SL",LeaveDate,"&gt;="&amp;AP$13,LeaveDate,"&lt;"&amp;AP$13+7)&gt;0,"SL",IF('設定'!$C$13="S","S",IF('設定'!$C$13="R",IF(MOD(INT((AP$13-'設定'!$B$4)/7)+IF('設定'!$D$13="",0,'設定'!$D$13),16)&lt;4,"A",IF(MOD(INT((AP$13-'設定'!$B$4)/7)+IF('設定'!$D$13="",0,'設定'!$D$13),16)&lt;8,"P",IF(MOD(INT((AP$13-'設定'!$B$4)/7)+IF('設定'!$D$13="",0,'設定'!$D$13),16)&lt;12,"N","P"))),""))))))</f>
        <v/>
      </c>
      <c r="AQ19" s="24">
        <f>IF(AQ$13="","",IF('設定'!$B$13="","",IF(COUNTIFS(LeaveName,'設定'!$B$13,LeaveType,"AL",LeaveDate,"&gt;="&amp;AQ$13,LeaveDate,"&lt;"&amp;AQ$13+7)&gt;0,"AL",IF(COUNTIFS(LeaveName,'設定'!$B$13,LeaveType,"SL",LeaveDate,"&gt;="&amp;AQ$13,LeaveDate,"&lt;"&amp;AQ$13+7)&gt;0,"SL",IF('設定'!$C$13="S","S",IF('設定'!$C$13="R",IF(MOD(INT((AQ$13-'設定'!$B$4)/7)+IF('設定'!$D$13="",0,'設定'!$D$13),16)&lt;4,"A",IF(MOD(INT((AQ$13-'設定'!$B$4)/7)+IF('設定'!$D$13="",0,'設定'!$D$13),16)&lt;8,"P",IF(MOD(INT((AQ$13-'設定'!$B$4)/7)+IF('設定'!$D$13="",0,'設定'!$D$13),16)&lt;12,"N","P"))),""))))))</f>
        <v/>
      </c>
      <c r="AR19" s="24">
        <f>IF(AR$13="","",IF('設定'!$B$13="","",IF(COUNTIFS(LeaveName,'設定'!$B$13,LeaveType,"AL",LeaveDate,"&gt;="&amp;AR$13,LeaveDate,"&lt;"&amp;AR$13+7)&gt;0,"AL",IF(COUNTIFS(LeaveName,'設定'!$B$13,LeaveType,"SL",LeaveDate,"&gt;="&amp;AR$13,LeaveDate,"&lt;"&amp;AR$13+7)&gt;0,"SL",IF('設定'!$C$13="S","S",IF('設定'!$C$13="R",IF(MOD(INT((AR$13-'設定'!$B$4)/7)+IF('設定'!$D$13="",0,'設定'!$D$13),16)&lt;4,"A",IF(MOD(INT((AR$13-'設定'!$B$4)/7)+IF('設定'!$D$13="",0,'設定'!$D$13),16)&lt;8,"P",IF(MOD(INT((AR$13-'設定'!$B$4)/7)+IF('設定'!$D$13="",0,'設定'!$D$13),16)&lt;12,"N","P"))),""))))))</f>
        <v/>
      </c>
      <c r="AS19" s="24">
        <f>IF(AS$13="","",IF('設定'!$B$13="","",IF(COUNTIFS(LeaveName,'設定'!$B$13,LeaveType,"AL",LeaveDate,"&gt;="&amp;AS$13,LeaveDate,"&lt;"&amp;AS$13+7)&gt;0,"AL",IF(COUNTIFS(LeaveName,'設定'!$B$13,LeaveType,"SL",LeaveDate,"&gt;="&amp;AS$13,LeaveDate,"&lt;"&amp;AS$13+7)&gt;0,"SL",IF('設定'!$C$13="S","S",IF('設定'!$C$13="R",IF(MOD(INT((AS$13-'設定'!$B$4)/7)+IF('設定'!$D$13="",0,'設定'!$D$13),16)&lt;4,"A",IF(MOD(INT((AS$13-'設定'!$B$4)/7)+IF('設定'!$D$13="",0,'設定'!$D$13),16)&lt;8,"P",IF(MOD(INT((AS$13-'設定'!$B$4)/7)+IF('設定'!$D$13="",0,'設定'!$D$13),16)&lt;12,"N","P"))),""))))))</f>
        <v/>
      </c>
      <c r="AT19" s="24">
        <f>IF(AT$13="","",IF('設定'!$B$13="","",IF(COUNTIFS(LeaveName,'設定'!$B$13,LeaveType,"AL",LeaveDate,"&gt;="&amp;AT$13,LeaveDate,"&lt;"&amp;AT$13+7)&gt;0,"AL",IF(COUNTIFS(LeaveName,'設定'!$B$13,LeaveType,"SL",LeaveDate,"&gt;="&amp;AT$13,LeaveDate,"&lt;"&amp;AT$13+7)&gt;0,"SL",IF('設定'!$C$13="S","S",IF('設定'!$C$13="R",IF(MOD(INT((AT$13-'設定'!$B$4)/7)+IF('設定'!$D$13="",0,'設定'!$D$13),16)&lt;4,"A",IF(MOD(INT((AT$13-'設定'!$B$4)/7)+IF('設定'!$D$13="",0,'設定'!$D$13),16)&lt;8,"P",IF(MOD(INT((AT$13-'設定'!$B$4)/7)+IF('設定'!$D$13="",0,'設定'!$D$13),16)&lt;12,"N","P"))),""))))))</f>
        <v/>
      </c>
      <c r="AU19" s="24">
        <f>IF(AU$13="","",IF('設定'!$B$13="","",IF(COUNTIFS(LeaveName,'設定'!$B$13,LeaveType,"AL",LeaveDate,"&gt;="&amp;AU$13,LeaveDate,"&lt;"&amp;AU$13+7)&gt;0,"AL",IF(COUNTIFS(LeaveName,'設定'!$B$13,LeaveType,"SL",LeaveDate,"&gt;="&amp;AU$13,LeaveDate,"&lt;"&amp;AU$13+7)&gt;0,"SL",IF('設定'!$C$13="S","S",IF('設定'!$C$13="R",IF(MOD(INT((AU$13-'設定'!$B$4)/7)+IF('設定'!$D$13="",0,'設定'!$D$13),16)&lt;4,"A",IF(MOD(INT((AU$13-'設定'!$B$4)/7)+IF('設定'!$D$13="",0,'設定'!$D$13),16)&lt;8,"P",IF(MOD(INT((AU$13-'設定'!$B$4)/7)+IF('設定'!$D$13="",0,'設定'!$D$13),16)&lt;12,"N","P"))),""))))))</f>
        <v/>
      </c>
      <c r="AV19" s="24">
        <f>IF(AV$13="","",IF('設定'!$B$13="","",IF(COUNTIFS(LeaveName,'設定'!$B$13,LeaveType,"AL",LeaveDate,"&gt;="&amp;AV$13,LeaveDate,"&lt;"&amp;AV$13+7)&gt;0,"AL",IF(COUNTIFS(LeaveName,'設定'!$B$13,LeaveType,"SL",LeaveDate,"&gt;="&amp;AV$13,LeaveDate,"&lt;"&amp;AV$13+7)&gt;0,"SL",IF('設定'!$C$13="S","S",IF('設定'!$C$13="R",IF(MOD(INT((AV$13-'設定'!$B$4)/7)+IF('設定'!$D$13="",0,'設定'!$D$13),16)&lt;4,"A",IF(MOD(INT((AV$13-'設定'!$B$4)/7)+IF('設定'!$D$13="",0,'設定'!$D$13),16)&lt;8,"P",IF(MOD(INT((AV$13-'設定'!$B$4)/7)+IF('設定'!$D$13="",0,'設定'!$D$13),16)&lt;12,"N","P"))),""))))))</f>
        <v/>
      </c>
      <c r="AW19" s="24">
        <f>IF(AW$13="","",IF('設定'!$B$13="","",IF(COUNTIFS(LeaveName,'設定'!$B$13,LeaveType,"AL",LeaveDate,"&gt;="&amp;AW$13,LeaveDate,"&lt;"&amp;AW$13+7)&gt;0,"AL",IF(COUNTIFS(LeaveName,'設定'!$B$13,LeaveType,"SL",LeaveDate,"&gt;="&amp;AW$13,LeaveDate,"&lt;"&amp;AW$13+7)&gt;0,"SL",IF('設定'!$C$13="S","S",IF('設定'!$C$13="R",IF(MOD(INT((AW$13-'設定'!$B$4)/7)+IF('設定'!$D$13="",0,'設定'!$D$13),16)&lt;4,"A",IF(MOD(INT((AW$13-'設定'!$B$4)/7)+IF('設定'!$D$13="",0,'設定'!$D$13),16)&lt;8,"P",IF(MOD(INT((AW$13-'設定'!$B$4)/7)+IF('設定'!$D$13="",0,'設定'!$D$13),16)&lt;12,"N","P"))),""))))))</f>
        <v/>
      </c>
      <c r="AX19" s="24">
        <f>IF(AX$13="","",IF('設定'!$B$13="","",IF(COUNTIFS(LeaveName,'設定'!$B$13,LeaveType,"AL",LeaveDate,"&gt;="&amp;AX$13,LeaveDate,"&lt;"&amp;AX$13+7)&gt;0,"AL",IF(COUNTIFS(LeaveName,'設定'!$B$13,LeaveType,"SL",LeaveDate,"&gt;="&amp;AX$13,LeaveDate,"&lt;"&amp;AX$13+7)&gt;0,"SL",IF('設定'!$C$13="S","S",IF('設定'!$C$13="R",IF(MOD(INT((AX$13-'設定'!$B$4)/7)+IF('設定'!$D$13="",0,'設定'!$D$13),16)&lt;4,"A",IF(MOD(INT((AX$13-'設定'!$B$4)/7)+IF('設定'!$D$13="",0,'設定'!$D$13),16)&lt;8,"P",IF(MOD(INT((AX$13-'設定'!$B$4)/7)+IF('設定'!$D$13="",0,'設定'!$D$13),16)&lt;12,"N","P"))),""))))))</f>
        <v/>
      </c>
      <c r="AY19" s="24">
        <f>IF(AY$13="","",IF('設定'!$B$13="","",IF(COUNTIFS(LeaveName,'設定'!$B$13,LeaveType,"AL",LeaveDate,"&gt;="&amp;AY$13,LeaveDate,"&lt;"&amp;AY$13+7)&gt;0,"AL",IF(COUNTIFS(LeaveName,'設定'!$B$13,LeaveType,"SL",LeaveDate,"&gt;="&amp;AY$13,LeaveDate,"&lt;"&amp;AY$13+7)&gt;0,"SL",IF('設定'!$C$13="S","S",IF('設定'!$C$13="R",IF(MOD(INT((AY$13-'設定'!$B$4)/7)+IF('設定'!$D$13="",0,'設定'!$D$13),16)&lt;4,"A",IF(MOD(INT((AY$13-'設定'!$B$4)/7)+IF('設定'!$D$13="",0,'設定'!$D$13),16)&lt;8,"P",IF(MOD(INT((AY$13-'設定'!$B$4)/7)+IF('設定'!$D$13="",0,'設定'!$D$13),16)&lt;12,"N","P"))),""))))))</f>
        <v/>
      </c>
      <c r="AZ19" s="24">
        <f>IF(AZ$13="","",IF('設定'!$B$13="","",IF(COUNTIFS(LeaveName,'設定'!$B$13,LeaveType,"AL",LeaveDate,"&gt;="&amp;AZ$13,LeaveDate,"&lt;"&amp;AZ$13+7)&gt;0,"AL",IF(COUNTIFS(LeaveName,'設定'!$B$13,LeaveType,"SL",LeaveDate,"&gt;="&amp;AZ$13,LeaveDate,"&lt;"&amp;AZ$13+7)&gt;0,"SL",IF('設定'!$C$13="S","S",IF('設定'!$C$13="R",IF(MOD(INT((AZ$13-'設定'!$B$4)/7)+IF('設定'!$D$13="",0,'設定'!$D$13),16)&lt;4,"A",IF(MOD(INT((AZ$13-'設定'!$B$4)/7)+IF('設定'!$D$13="",0,'設定'!$D$13),16)&lt;8,"P",IF(MOD(INT((AZ$13-'設定'!$B$4)/7)+IF('設定'!$D$13="",0,'設定'!$D$13),16)&lt;12,"N","P"))),""))))))</f>
        <v/>
      </c>
      <c r="BA19" s="24">
        <f>IF(BA$13="","",IF('設定'!$B$13="","",IF(COUNTIFS(LeaveName,'設定'!$B$13,LeaveType,"AL",LeaveDate,"&gt;="&amp;BA$13,LeaveDate,"&lt;"&amp;BA$13+7)&gt;0,"AL",IF(COUNTIFS(LeaveName,'設定'!$B$13,LeaveType,"SL",LeaveDate,"&gt;="&amp;BA$13,LeaveDate,"&lt;"&amp;BA$13+7)&gt;0,"SL",IF('設定'!$C$13="S","S",IF('設定'!$C$13="R",IF(MOD(INT((BA$13-'設定'!$B$4)/7)+IF('設定'!$D$13="",0,'設定'!$D$13),16)&lt;4,"A",IF(MOD(INT((BA$13-'設定'!$B$4)/7)+IF('設定'!$D$13="",0,'設定'!$D$13),16)&lt;8,"P",IF(MOD(INT((BA$13-'設定'!$B$4)/7)+IF('設定'!$D$13="",0,'設定'!$D$13),16)&lt;12,"N","P"))),""))))))</f>
        <v/>
      </c>
      <c r="BB19" s="24">
        <f>IF(BB$13="","",IF('設定'!$B$13="","",IF(COUNTIFS(LeaveName,'設定'!$B$13,LeaveType,"AL",LeaveDate,"&gt;="&amp;BB$13,LeaveDate,"&lt;"&amp;BB$13+7)&gt;0,"AL",IF(COUNTIFS(LeaveName,'設定'!$B$13,LeaveType,"SL",LeaveDate,"&gt;="&amp;BB$13,LeaveDate,"&lt;"&amp;BB$13+7)&gt;0,"SL",IF('設定'!$C$13="S","S",IF('設定'!$C$13="R",IF(MOD(INT((BB$13-'設定'!$B$4)/7)+IF('設定'!$D$13="",0,'設定'!$D$13),16)&lt;4,"A",IF(MOD(INT((BB$13-'設定'!$B$4)/7)+IF('設定'!$D$13="",0,'設定'!$D$13),16)&lt;8,"P",IF(MOD(INT((BB$13-'設定'!$B$4)/7)+IF('設定'!$D$13="",0,'設定'!$D$13),16)&lt;12,"N","P"))),""))))))</f>
        <v/>
      </c>
      <c r="BC19" s="24">
        <f>IF(BC$13="","",IF('設定'!$B$13="","",IF(COUNTIFS(LeaveName,'設定'!$B$13,LeaveType,"AL",LeaveDate,"&gt;="&amp;BC$13,LeaveDate,"&lt;"&amp;BC$13+7)&gt;0,"AL",IF(COUNTIFS(LeaveName,'設定'!$B$13,LeaveType,"SL",LeaveDate,"&gt;="&amp;BC$13,LeaveDate,"&lt;"&amp;BC$13+7)&gt;0,"SL",IF('設定'!$C$13="S","S",IF('設定'!$C$13="R",IF(MOD(INT((BC$13-'設定'!$B$4)/7)+IF('設定'!$D$13="",0,'設定'!$D$13),16)&lt;4,"A",IF(MOD(INT((BC$13-'設定'!$B$4)/7)+IF('設定'!$D$13="",0,'設定'!$D$13),16)&lt;8,"P",IF(MOD(INT((BC$13-'設定'!$B$4)/7)+IF('設定'!$D$13="",0,'設定'!$D$13),16)&lt;12,"N","P"))),""))))))</f>
        <v/>
      </c>
      <c r="BD19" s="24">
        <f>IF(BD$13="","",IF('設定'!$B$13="","",IF(COUNTIFS(LeaveName,'設定'!$B$13,LeaveType,"AL",LeaveDate,"&gt;="&amp;BD$13,LeaveDate,"&lt;"&amp;BD$13+7)&gt;0,"AL",IF(COUNTIFS(LeaveName,'設定'!$B$13,LeaveType,"SL",LeaveDate,"&gt;="&amp;BD$13,LeaveDate,"&lt;"&amp;BD$13+7)&gt;0,"SL",IF('設定'!$C$13="S","S",IF('設定'!$C$13="R",IF(MOD(INT((BD$13-'設定'!$B$4)/7)+IF('設定'!$D$13="",0,'設定'!$D$13),16)&lt;4,"A",IF(MOD(INT((BD$13-'設定'!$B$4)/7)+IF('設定'!$D$13="",0,'設定'!$D$13),16)&lt;8,"P",IF(MOD(INT((BD$13-'設定'!$B$4)/7)+IF('設定'!$D$13="",0,'設定'!$D$13),16)&lt;12,"N","P"))),""))))))</f>
        <v/>
      </c>
      <c r="BE19" s="24">
        <f>IF(BE$13="","",IF('設定'!$B$13="","",IF(COUNTIFS(LeaveName,'設定'!$B$13,LeaveType,"AL",LeaveDate,"&gt;="&amp;BE$13,LeaveDate,"&lt;"&amp;BE$13+7)&gt;0,"AL",IF(COUNTIFS(LeaveName,'設定'!$B$13,LeaveType,"SL",LeaveDate,"&gt;="&amp;BE$13,LeaveDate,"&lt;"&amp;BE$13+7)&gt;0,"SL",IF('設定'!$C$13="S","S",IF('設定'!$C$13="R",IF(MOD(INT((BE$13-'設定'!$B$4)/7)+IF('設定'!$D$13="",0,'設定'!$D$13),16)&lt;4,"A",IF(MOD(INT((BE$13-'設定'!$B$4)/7)+IF('設定'!$D$13="",0,'設定'!$D$13),16)&lt;8,"P",IF(MOD(INT((BE$13-'設定'!$B$4)/7)+IF('設定'!$D$13="",0,'設定'!$D$13),16)&lt;12,"N","P"))),""))))))</f>
        <v/>
      </c>
      <c r="BF19" s="24">
        <f>IF(BF$13="","",IF('設定'!$B$13="","",IF(COUNTIFS(LeaveName,'設定'!$B$13,LeaveType,"AL",LeaveDate,"&gt;="&amp;BF$13,LeaveDate,"&lt;"&amp;BF$13+7)&gt;0,"AL",IF(COUNTIFS(LeaveName,'設定'!$B$13,LeaveType,"SL",LeaveDate,"&gt;="&amp;BF$13,LeaveDate,"&lt;"&amp;BF$13+7)&gt;0,"SL",IF('設定'!$C$13="S","S",IF('設定'!$C$13="R",IF(MOD(INT((BF$13-'設定'!$B$4)/7)+IF('設定'!$D$13="",0,'設定'!$D$13),16)&lt;4,"A",IF(MOD(INT((BF$13-'設定'!$B$4)/7)+IF('設定'!$D$13="",0,'設定'!$D$13),16)&lt;8,"P",IF(MOD(INT((BF$13-'設定'!$B$4)/7)+IF('設定'!$D$13="",0,'設定'!$D$13),16)&lt;12,"N","P"))),""))))))</f>
        <v/>
      </c>
      <c r="BG19" s="24">
        <f>IF(BG$13="","",IF('設定'!$B$13="","",IF(COUNTIFS(LeaveName,'設定'!$B$13,LeaveType,"AL",LeaveDate,"&gt;="&amp;BG$13,LeaveDate,"&lt;"&amp;BG$13+7)&gt;0,"AL",IF(COUNTIFS(LeaveName,'設定'!$B$13,LeaveType,"SL",LeaveDate,"&gt;="&amp;BG$13,LeaveDate,"&lt;"&amp;BG$13+7)&gt;0,"SL",IF('設定'!$C$13="S","S",IF('設定'!$C$13="R",IF(MOD(INT((BG$13-'設定'!$B$4)/7)+IF('設定'!$D$13="",0,'設定'!$D$13),16)&lt;4,"A",IF(MOD(INT((BG$13-'設定'!$B$4)/7)+IF('設定'!$D$13="",0,'設定'!$D$13),16)&lt;8,"P",IF(MOD(INT((BG$13-'設定'!$B$4)/7)+IF('設定'!$D$13="",0,'設定'!$D$13),16)&lt;12,"N","P"))),""))))))</f>
        <v/>
      </c>
    </row>
    <row r="20">
      <c r="A20" s="25" t="inlineStr">
        <is>
          <t>公眾假期</t>
        </is>
      </c>
      <c r="G20" s="26">
        <f>IF(G$13="","",IF(COUNTIFS(HolidayDates,"&gt;="&amp;G$13,HolidayDates,"&lt;"&amp;G$13+7,HolidayDates,"&lt;&gt;")=0,"","假"&amp;COUNTIFS(HolidayDates,"&gt;="&amp;G$13,HolidayDates,"&lt;"&amp;G$13+7,HolidayDates,"&lt;&gt;")))</f>
        <v/>
      </c>
      <c r="H20" s="26">
        <f>IF(H$13="","",IF(COUNTIFS(HolidayDates,"&gt;="&amp;H$13,HolidayDates,"&lt;"&amp;H$13+7,HolidayDates,"&lt;&gt;")=0,"","假"&amp;COUNTIFS(HolidayDates,"&gt;="&amp;H$13,HolidayDates,"&lt;"&amp;H$13+7,HolidayDates,"&lt;&gt;")))</f>
        <v/>
      </c>
      <c r="I20" s="26">
        <f>IF(I$13="","",IF(COUNTIFS(HolidayDates,"&gt;="&amp;I$13,HolidayDates,"&lt;"&amp;I$13+7,HolidayDates,"&lt;&gt;")=0,"","假"&amp;COUNTIFS(HolidayDates,"&gt;="&amp;I$13,HolidayDates,"&lt;"&amp;I$13+7,HolidayDates,"&lt;&gt;")))</f>
        <v/>
      </c>
      <c r="J20" s="26">
        <f>IF(J$13="","",IF(COUNTIFS(HolidayDates,"&gt;="&amp;J$13,HolidayDates,"&lt;"&amp;J$13+7,HolidayDates,"&lt;&gt;")=0,"","假"&amp;COUNTIFS(HolidayDates,"&gt;="&amp;J$13,HolidayDates,"&lt;"&amp;J$13+7,HolidayDates,"&lt;&gt;")))</f>
        <v/>
      </c>
      <c r="K20" s="26">
        <f>IF(K$13="","",IF(COUNTIFS(HolidayDates,"&gt;="&amp;K$13,HolidayDates,"&lt;"&amp;K$13+7,HolidayDates,"&lt;&gt;")=0,"","假"&amp;COUNTIFS(HolidayDates,"&gt;="&amp;K$13,HolidayDates,"&lt;"&amp;K$13+7,HolidayDates,"&lt;&gt;")))</f>
        <v/>
      </c>
      <c r="L20" s="26">
        <f>IF(L$13="","",IF(COUNTIFS(HolidayDates,"&gt;="&amp;L$13,HolidayDates,"&lt;"&amp;L$13+7,HolidayDates,"&lt;&gt;")=0,"","假"&amp;COUNTIFS(HolidayDates,"&gt;="&amp;L$13,HolidayDates,"&lt;"&amp;L$13+7,HolidayDates,"&lt;&gt;")))</f>
        <v/>
      </c>
      <c r="M20" s="26">
        <f>IF(M$13="","",IF(COUNTIFS(HolidayDates,"&gt;="&amp;M$13,HolidayDates,"&lt;"&amp;M$13+7,HolidayDates,"&lt;&gt;")=0,"","假"&amp;COUNTIFS(HolidayDates,"&gt;="&amp;M$13,HolidayDates,"&lt;"&amp;M$13+7,HolidayDates,"&lt;&gt;")))</f>
        <v/>
      </c>
      <c r="N20" s="26">
        <f>IF(N$13="","",IF(COUNTIFS(HolidayDates,"&gt;="&amp;N$13,HolidayDates,"&lt;"&amp;N$13+7,HolidayDates,"&lt;&gt;")=0,"","假"&amp;COUNTIFS(HolidayDates,"&gt;="&amp;N$13,HolidayDates,"&lt;"&amp;N$13+7,HolidayDates,"&lt;&gt;")))</f>
        <v/>
      </c>
      <c r="O20" s="26">
        <f>IF(O$13="","",IF(COUNTIFS(HolidayDates,"&gt;="&amp;O$13,HolidayDates,"&lt;"&amp;O$13+7,HolidayDates,"&lt;&gt;")=0,"","假"&amp;COUNTIFS(HolidayDates,"&gt;="&amp;O$13,HolidayDates,"&lt;"&amp;O$13+7,HolidayDates,"&lt;&gt;")))</f>
        <v/>
      </c>
      <c r="P20" s="26">
        <f>IF(P$13="","",IF(COUNTIFS(HolidayDates,"&gt;="&amp;P$13,HolidayDates,"&lt;"&amp;P$13+7,HolidayDates,"&lt;&gt;")=0,"","假"&amp;COUNTIFS(HolidayDates,"&gt;="&amp;P$13,HolidayDates,"&lt;"&amp;P$13+7,HolidayDates,"&lt;&gt;")))</f>
        <v/>
      </c>
      <c r="Q20" s="26">
        <f>IF(Q$13="","",IF(COUNTIFS(HolidayDates,"&gt;="&amp;Q$13,HolidayDates,"&lt;"&amp;Q$13+7,HolidayDates,"&lt;&gt;")=0,"","假"&amp;COUNTIFS(HolidayDates,"&gt;="&amp;Q$13,HolidayDates,"&lt;"&amp;Q$13+7,HolidayDates,"&lt;&gt;")))</f>
        <v/>
      </c>
      <c r="R20" s="26">
        <f>IF(R$13="","",IF(COUNTIFS(HolidayDates,"&gt;="&amp;R$13,HolidayDates,"&lt;"&amp;R$13+7,HolidayDates,"&lt;&gt;")=0,"","假"&amp;COUNTIFS(HolidayDates,"&gt;="&amp;R$13,HolidayDates,"&lt;"&amp;R$13+7,HolidayDates,"&lt;&gt;")))</f>
        <v/>
      </c>
      <c r="S20" s="26">
        <f>IF(S$13="","",IF(COUNTIFS(HolidayDates,"&gt;="&amp;S$13,HolidayDates,"&lt;"&amp;S$13+7,HolidayDates,"&lt;&gt;")=0,"","假"&amp;COUNTIFS(HolidayDates,"&gt;="&amp;S$13,HolidayDates,"&lt;"&amp;S$13+7,HolidayDates,"&lt;&gt;")))</f>
        <v/>
      </c>
      <c r="T20" s="26">
        <f>IF(T$13="","",IF(COUNTIFS(HolidayDates,"&gt;="&amp;T$13,HolidayDates,"&lt;"&amp;T$13+7,HolidayDates,"&lt;&gt;")=0,"","假"&amp;COUNTIFS(HolidayDates,"&gt;="&amp;T$13,HolidayDates,"&lt;"&amp;T$13+7,HolidayDates,"&lt;&gt;")))</f>
        <v/>
      </c>
      <c r="U20" s="26">
        <f>IF(U$13="","",IF(COUNTIFS(HolidayDates,"&gt;="&amp;U$13,HolidayDates,"&lt;"&amp;U$13+7,HolidayDates,"&lt;&gt;")=0,"","假"&amp;COUNTIFS(HolidayDates,"&gt;="&amp;U$13,HolidayDates,"&lt;"&amp;U$13+7,HolidayDates,"&lt;&gt;")))</f>
        <v/>
      </c>
      <c r="V20" s="26">
        <f>IF(V$13="","",IF(COUNTIFS(HolidayDates,"&gt;="&amp;V$13,HolidayDates,"&lt;"&amp;V$13+7,HolidayDates,"&lt;&gt;")=0,"","假"&amp;COUNTIFS(HolidayDates,"&gt;="&amp;V$13,HolidayDates,"&lt;"&amp;V$13+7,HolidayDates,"&lt;&gt;")))</f>
        <v/>
      </c>
      <c r="W20" s="26">
        <f>IF(W$13="","",IF(COUNTIFS(HolidayDates,"&gt;="&amp;W$13,HolidayDates,"&lt;"&amp;W$13+7,HolidayDates,"&lt;&gt;")=0,"","假"&amp;COUNTIFS(HolidayDates,"&gt;="&amp;W$13,HolidayDates,"&lt;"&amp;W$13+7,HolidayDates,"&lt;&gt;")))</f>
        <v/>
      </c>
      <c r="X20" s="26">
        <f>IF(X$13="","",IF(COUNTIFS(HolidayDates,"&gt;="&amp;X$13,HolidayDates,"&lt;"&amp;X$13+7,HolidayDates,"&lt;&gt;")=0,"","假"&amp;COUNTIFS(HolidayDates,"&gt;="&amp;X$13,HolidayDates,"&lt;"&amp;X$13+7,HolidayDates,"&lt;&gt;")))</f>
        <v/>
      </c>
      <c r="Y20" s="26">
        <f>IF(Y$13="","",IF(COUNTIFS(HolidayDates,"&gt;="&amp;Y$13,HolidayDates,"&lt;"&amp;Y$13+7,HolidayDates,"&lt;&gt;")=0,"","假"&amp;COUNTIFS(HolidayDates,"&gt;="&amp;Y$13,HolidayDates,"&lt;"&amp;Y$13+7,HolidayDates,"&lt;&gt;")))</f>
        <v/>
      </c>
      <c r="Z20" s="26">
        <f>IF(Z$13="","",IF(COUNTIFS(HolidayDates,"&gt;="&amp;Z$13,HolidayDates,"&lt;"&amp;Z$13+7,HolidayDates,"&lt;&gt;")=0,"","假"&amp;COUNTIFS(HolidayDates,"&gt;="&amp;Z$13,HolidayDates,"&lt;"&amp;Z$13+7,HolidayDates,"&lt;&gt;")))</f>
        <v/>
      </c>
      <c r="AA20" s="26">
        <f>IF(AA$13="","",IF(COUNTIFS(HolidayDates,"&gt;="&amp;AA$13,HolidayDates,"&lt;"&amp;AA$13+7,HolidayDates,"&lt;&gt;")=0,"","假"&amp;COUNTIFS(HolidayDates,"&gt;="&amp;AA$13,HolidayDates,"&lt;"&amp;AA$13+7,HolidayDates,"&lt;&gt;")))</f>
        <v/>
      </c>
      <c r="AB20" s="26">
        <f>IF(AB$13="","",IF(COUNTIFS(HolidayDates,"&gt;="&amp;AB$13,HolidayDates,"&lt;"&amp;AB$13+7,HolidayDates,"&lt;&gt;")=0,"","假"&amp;COUNTIFS(HolidayDates,"&gt;="&amp;AB$13,HolidayDates,"&lt;"&amp;AB$13+7,HolidayDates,"&lt;&gt;")))</f>
        <v/>
      </c>
      <c r="AC20" s="26">
        <f>IF(AC$13="","",IF(COUNTIFS(HolidayDates,"&gt;="&amp;AC$13,HolidayDates,"&lt;"&amp;AC$13+7,HolidayDates,"&lt;&gt;")=0,"","假"&amp;COUNTIFS(HolidayDates,"&gt;="&amp;AC$13,HolidayDates,"&lt;"&amp;AC$13+7,HolidayDates,"&lt;&gt;")))</f>
        <v/>
      </c>
      <c r="AD20" s="26">
        <f>IF(AD$13="","",IF(COUNTIFS(HolidayDates,"&gt;="&amp;AD$13,HolidayDates,"&lt;"&amp;AD$13+7,HolidayDates,"&lt;&gt;")=0,"","假"&amp;COUNTIFS(HolidayDates,"&gt;="&amp;AD$13,HolidayDates,"&lt;"&amp;AD$13+7,HolidayDates,"&lt;&gt;")))</f>
        <v/>
      </c>
      <c r="AE20" s="26">
        <f>IF(AE$13="","",IF(COUNTIFS(HolidayDates,"&gt;="&amp;AE$13,HolidayDates,"&lt;"&amp;AE$13+7,HolidayDates,"&lt;&gt;")=0,"","假"&amp;COUNTIFS(HolidayDates,"&gt;="&amp;AE$13,HolidayDates,"&lt;"&amp;AE$13+7,HolidayDates,"&lt;&gt;")))</f>
        <v/>
      </c>
      <c r="AF20" s="26">
        <f>IF(AF$13="","",IF(COUNTIFS(HolidayDates,"&gt;="&amp;AF$13,HolidayDates,"&lt;"&amp;AF$13+7,HolidayDates,"&lt;&gt;")=0,"","假"&amp;COUNTIFS(HolidayDates,"&gt;="&amp;AF$13,HolidayDates,"&lt;"&amp;AF$13+7,HolidayDates,"&lt;&gt;")))</f>
        <v/>
      </c>
      <c r="AG20" s="26">
        <f>IF(AG$13="","",IF(COUNTIFS(HolidayDates,"&gt;="&amp;AG$13,HolidayDates,"&lt;"&amp;AG$13+7,HolidayDates,"&lt;&gt;")=0,"","假"&amp;COUNTIFS(HolidayDates,"&gt;="&amp;AG$13,HolidayDates,"&lt;"&amp;AG$13+7,HolidayDates,"&lt;&gt;")))</f>
        <v/>
      </c>
      <c r="AH20" s="26">
        <f>IF(AH$13="","",IF(COUNTIFS(HolidayDates,"&gt;="&amp;AH$13,HolidayDates,"&lt;"&amp;AH$13+7,HolidayDates,"&lt;&gt;")=0,"","假"&amp;COUNTIFS(HolidayDates,"&gt;="&amp;AH$13,HolidayDates,"&lt;"&amp;AH$13+7,HolidayDates,"&lt;&gt;")))</f>
        <v/>
      </c>
      <c r="AI20" s="26">
        <f>IF(AI$13="","",IF(COUNTIFS(HolidayDates,"&gt;="&amp;AI$13,HolidayDates,"&lt;"&amp;AI$13+7,HolidayDates,"&lt;&gt;")=0,"","假"&amp;COUNTIFS(HolidayDates,"&gt;="&amp;AI$13,HolidayDates,"&lt;"&amp;AI$13+7,HolidayDates,"&lt;&gt;")))</f>
        <v/>
      </c>
      <c r="AJ20" s="26">
        <f>IF(AJ$13="","",IF(COUNTIFS(HolidayDates,"&gt;="&amp;AJ$13,HolidayDates,"&lt;"&amp;AJ$13+7,HolidayDates,"&lt;&gt;")=0,"","假"&amp;COUNTIFS(HolidayDates,"&gt;="&amp;AJ$13,HolidayDates,"&lt;"&amp;AJ$13+7,HolidayDates,"&lt;&gt;")))</f>
        <v/>
      </c>
      <c r="AK20" s="26">
        <f>IF(AK$13="","",IF(COUNTIFS(HolidayDates,"&gt;="&amp;AK$13,HolidayDates,"&lt;"&amp;AK$13+7,HolidayDates,"&lt;&gt;")=0,"","假"&amp;COUNTIFS(HolidayDates,"&gt;="&amp;AK$13,HolidayDates,"&lt;"&amp;AK$13+7,HolidayDates,"&lt;&gt;")))</f>
        <v/>
      </c>
      <c r="AL20" s="26">
        <f>IF(AL$13="","",IF(COUNTIFS(HolidayDates,"&gt;="&amp;AL$13,HolidayDates,"&lt;"&amp;AL$13+7,HolidayDates,"&lt;&gt;")=0,"","假"&amp;COUNTIFS(HolidayDates,"&gt;="&amp;AL$13,HolidayDates,"&lt;"&amp;AL$13+7,HolidayDates,"&lt;&gt;")))</f>
        <v/>
      </c>
      <c r="AM20" s="26">
        <f>IF(AM$13="","",IF(COUNTIFS(HolidayDates,"&gt;="&amp;AM$13,HolidayDates,"&lt;"&amp;AM$13+7,HolidayDates,"&lt;&gt;")=0,"","假"&amp;COUNTIFS(HolidayDates,"&gt;="&amp;AM$13,HolidayDates,"&lt;"&amp;AM$13+7,HolidayDates,"&lt;&gt;")))</f>
        <v/>
      </c>
      <c r="AN20" s="26">
        <f>IF(AN$13="","",IF(COUNTIFS(HolidayDates,"&gt;="&amp;AN$13,HolidayDates,"&lt;"&amp;AN$13+7,HolidayDates,"&lt;&gt;")=0,"","假"&amp;COUNTIFS(HolidayDates,"&gt;="&amp;AN$13,HolidayDates,"&lt;"&amp;AN$13+7,HolidayDates,"&lt;&gt;")))</f>
        <v/>
      </c>
      <c r="AO20" s="26">
        <f>IF(AO$13="","",IF(COUNTIFS(HolidayDates,"&gt;="&amp;AO$13,HolidayDates,"&lt;"&amp;AO$13+7,HolidayDates,"&lt;&gt;")=0,"","假"&amp;COUNTIFS(HolidayDates,"&gt;="&amp;AO$13,HolidayDates,"&lt;"&amp;AO$13+7,HolidayDates,"&lt;&gt;")))</f>
        <v/>
      </c>
      <c r="AP20" s="26">
        <f>IF(AP$13="","",IF(COUNTIFS(HolidayDates,"&gt;="&amp;AP$13,HolidayDates,"&lt;"&amp;AP$13+7,HolidayDates,"&lt;&gt;")=0,"","假"&amp;COUNTIFS(HolidayDates,"&gt;="&amp;AP$13,HolidayDates,"&lt;"&amp;AP$13+7,HolidayDates,"&lt;&gt;")))</f>
        <v/>
      </c>
      <c r="AQ20" s="26">
        <f>IF(AQ$13="","",IF(COUNTIFS(HolidayDates,"&gt;="&amp;AQ$13,HolidayDates,"&lt;"&amp;AQ$13+7,HolidayDates,"&lt;&gt;")=0,"","假"&amp;COUNTIFS(HolidayDates,"&gt;="&amp;AQ$13,HolidayDates,"&lt;"&amp;AQ$13+7,HolidayDates,"&lt;&gt;")))</f>
        <v/>
      </c>
      <c r="AR20" s="26">
        <f>IF(AR$13="","",IF(COUNTIFS(HolidayDates,"&gt;="&amp;AR$13,HolidayDates,"&lt;"&amp;AR$13+7,HolidayDates,"&lt;&gt;")=0,"","假"&amp;COUNTIFS(HolidayDates,"&gt;="&amp;AR$13,HolidayDates,"&lt;"&amp;AR$13+7,HolidayDates,"&lt;&gt;")))</f>
        <v/>
      </c>
      <c r="AS20" s="26">
        <f>IF(AS$13="","",IF(COUNTIFS(HolidayDates,"&gt;="&amp;AS$13,HolidayDates,"&lt;"&amp;AS$13+7,HolidayDates,"&lt;&gt;")=0,"","假"&amp;COUNTIFS(HolidayDates,"&gt;="&amp;AS$13,HolidayDates,"&lt;"&amp;AS$13+7,HolidayDates,"&lt;&gt;")))</f>
        <v/>
      </c>
      <c r="AT20" s="26">
        <f>IF(AT$13="","",IF(COUNTIFS(HolidayDates,"&gt;="&amp;AT$13,HolidayDates,"&lt;"&amp;AT$13+7,HolidayDates,"&lt;&gt;")=0,"","假"&amp;COUNTIFS(HolidayDates,"&gt;="&amp;AT$13,HolidayDates,"&lt;"&amp;AT$13+7,HolidayDates,"&lt;&gt;")))</f>
        <v/>
      </c>
      <c r="AU20" s="26">
        <f>IF(AU$13="","",IF(COUNTIFS(HolidayDates,"&gt;="&amp;AU$13,HolidayDates,"&lt;"&amp;AU$13+7,HolidayDates,"&lt;&gt;")=0,"","假"&amp;COUNTIFS(HolidayDates,"&gt;="&amp;AU$13,HolidayDates,"&lt;"&amp;AU$13+7,HolidayDates,"&lt;&gt;")))</f>
        <v/>
      </c>
      <c r="AV20" s="26">
        <f>IF(AV$13="","",IF(COUNTIFS(HolidayDates,"&gt;="&amp;AV$13,HolidayDates,"&lt;"&amp;AV$13+7,HolidayDates,"&lt;&gt;")=0,"","假"&amp;COUNTIFS(HolidayDates,"&gt;="&amp;AV$13,HolidayDates,"&lt;"&amp;AV$13+7,HolidayDates,"&lt;&gt;")))</f>
        <v/>
      </c>
      <c r="AW20" s="26">
        <f>IF(AW$13="","",IF(COUNTIFS(HolidayDates,"&gt;="&amp;AW$13,HolidayDates,"&lt;"&amp;AW$13+7,HolidayDates,"&lt;&gt;")=0,"","假"&amp;COUNTIFS(HolidayDates,"&gt;="&amp;AW$13,HolidayDates,"&lt;"&amp;AW$13+7,HolidayDates,"&lt;&gt;")))</f>
        <v/>
      </c>
      <c r="AX20" s="26">
        <f>IF(AX$13="","",IF(COUNTIFS(HolidayDates,"&gt;="&amp;AX$13,HolidayDates,"&lt;"&amp;AX$13+7,HolidayDates,"&lt;&gt;")=0,"","假"&amp;COUNTIFS(HolidayDates,"&gt;="&amp;AX$13,HolidayDates,"&lt;"&amp;AX$13+7,HolidayDates,"&lt;&gt;")))</f>
        <v/>
      </c>
      <c r="AY20" s="26">
        <f>IF(AY$13="","",IF(COUNTIFS(HolidayDates,"&gt;="&amp;AY$13,HolidayDates,"&lt;"&amp;AY$13+7,HolidayDates,"&lt;&gt;")=0,"","假"&amp;COUNTIFS(HolidayDates,"&gt;="&amp;AY$13,HolidayDates,"&lt;"&amp;AY$13+7,HolidayDates,"&lt;&gt;")))</f>
        <v/>
      </c>
      <c r="AZ20" s="26">
        <f>IF(AZ$13="","",IF(COUNTIFS(HolidayDates,"&gt;="&amp;AZ$13,HolidayDates,"&lt;"&amp;AZ$13+7,HolidayDates,"&lt;&gt;")=0,"","假"&amp;COUNTIFS(HolidayDates,"&gt;="&amp;AZ$13,HolidayDates,"&lt;"&amp;AZ$13+7,HolidayDates,"&lt;&gt;")))</f>
        <v/>
      </c>
      <c r="BA20" s="26">
        <f>IF(BA$13="","",IF(COUNTIFS(HolidayDates,"&gt;="&amp;BA$13,HolidayDates,"&lt;"&amp;BA$13+7,HolidayDates,"&lt;&gt;")=0,"","假"&amp;COUNTIFS(HolidayDates,"&gt;="&amp;BA$13,HolidayDates,"&lt;"&amp;BA$13+7,HolidayDates,"&lt;&gt;")))</f>
        <v/>
      </c>
      <c r="BB20" s="26">
        <f>IF(BB$13="","",IF(COUNTIFS(HolidayDates,"&gt;="&amp;BB$13,HolidayDates,"&lt;"&amp;BB$13+7,HolidayDates,"&lt;&gt;")=0,"","假"&amp;COUNTIFS(HolidayDates,"&gt;="&amp;BB$13,HolidayDates,"&lt;"&amp;BB$13+7,HolidayDates,"&lt;&gt;")))</f>
        <v/>
      </c>
      <c r="BC20" s="26">
        <f>IF(BC$13="","",IF(COUNTIFS(HolidayDates,"&gt;="&amp;BC$13,HolidayDates,"&lt;"&amp;BC$13+7,HolidayDates,"&lt;&gt;")=0,"","假"&amp;COUNTIFS(HolidayDates,"&gt;="&amp;BC$13,HolidayDates,"&lt;"&amp;BC$13+7,HolidayDates,"&lt;&gt;")))</f>
        <v/>
      </c>
      <c r="BD20" s="26">
        <f>IF(BD$13="","",IF(COUNTIFS(HolidayDates,"&gt;="&amp;BD$13,HolidayDates,"&lt;"&amp;BD$13+7,HolidayDates,"&lt;&gt;")=0,"","假"&amp;COUNTIFS(HolidayDates,"&gt;="&amp;BD$13,HolidayDates,"&lt;"&amp;BD$13+7,HolidayDates,"&lt;&gt;")))</f>
        <v/>
      </c>
      <c r="BE20" s="26">
        <f>IF(BE$13="","",IF(COUNTIFS(HolidayDates,"&gt;="&amp;BE$13,HolidayDates,"&lt;"&amp;BE$13+7,HolidayDates,"&lt;&gt;")=0,"","假"&amp;COUNTIFS(HolidayDates,"&gt;="&amp;BE$13,HolidayDates,"&lt;"&amp;BE$13+7,HolidayDates,"&lt;&gt;")))</f>
        <v/>
      </c>
      <c r="BF20" s="26">
        <f>IF(BF$13="","",IF(COUNTIFS(HolidayDates,"&gt;="&amp;BF$13,HolidayDates,"&lt;"&amp;BF$13+7,HolidayDates,"&lt;&gt;")=0,"","假"&amp;COUNTIFS(HolidayDates,"&gt;="&amp;BF$13,HolidayDates,"&lt;"&amp;BF$13+7,HolidayDates,"&lt;&gt;")))</f>
        <v/>
      </c>
      <c r="BG20" s="26">
        <f>IF(BG$13="","",IF(COUNTIFS(HolidayDates,"&gt;="&amp;BG$13,HolidayDates,"&lt;"&amp;BG$13+7,HolidayDates,"&lt;&gt;")=0,"","假"&amp;COUNTIFS(HolidayDates,"&gt;="&amp;BG$13,HolidayDates,"&lt;"&amp;BG$13+7,HolidayDates,"&lt;&gt;")))</f>
        <v/>
      </c>
    </row>
    <row r="21" hidden="1">
      <c r="A21" s="27" t="inlineStr">
        <is>
          <t>（系統）</t>
        </is>
      </c>
      <c r="G21" s="28">
        <f>IF(G$13="","",COUNTIFS(HolidayDates,"&gt;="&amp;G$13,HolidayDates,"&lt;"&amp;G$13+7,HolidayDates,"&lt;&gt;"))</f>
        <v/>
      </c>
      <c r="H21" s="28">
        <f>IF(H$13="","",COUNTIFS(HolidayDates,"&gt;="&amp;H$13,HolidayDates,"&lt;"&amp;H$13+7,HolidayDates,"&lt;&gt;"))</f>
        <v/>
      </c>
      <c r="I21" s="28">
        <f>IF(I$13="","",COUNTIFS(HolidayDates,"&gt;="&amp;I$13,HolidayDates,"&lt;"&amp;I$13+7,HolidayDates,"&lt;&gt;"))</f>
        <v/>
      </c>
      <c r="J21" s="28">
        <f>IF(J$13="","",COUNTIFS(HolidayDates,"&gt;="&amp;J$13,HolidayDates,"&lt;"&amp;J$13+7,HolidayDates,"&lt;&gt;"))</f>
        <v/>
      </c>
      <c r="K21" s="28">
        <f>IF(K$13="","",COUNTIFS(HolidayDates,"&gt;="&amp;K$13,HolidayDates,"&lt;"&amp;K$13+7,HolidayDates,"&lt;&gt;"))</f>
        <v/>
      </c>
      <c r="L21" s="28">
        <f>IF(L$13="","",COUNTIFS(HolidayDates,"&gt;="&amp;L$13,HolidayDates,"&lt;"&amp;L$13+7,HolidayDates,"&lt;&gt;"))</f>
        <v/>
      </c>
      <c r="M21" s="28">
        <f>IF(M$13="","",COUNTIFS(HolidayDates,"&gt;="&amp;M$13,HolidayDates,"&lt;"&amp;M$13+7,HolidayDates,"&lt;&gt;"))</f>
        <v/>
      </c>
      <c r="N21" s="28">
        <f>IF(N$13="","",COUNTIFS(HolidayDates,"&gt;="&amp;N$13,HolidayDates,"&lt;"&amp;N$13+7,HolidayDates,"&lt;&gt;"))</f>
        <v/>
      </c>
      <c r="O21" s="28">
        <f>IF(O$13="","",COUNTIFS(HolidayDates,"&gt;="&amp;O$13,HolidayDates,"&lt;"&amp;O$13+7,HolidayDates,"&lt;&gt;"))</f>
        <v/>
      </c>
      <c r="P21" s="28">
        <f>IF(P$13="","",COUNTIFS(HolidayDates,"&gt;="&amp;P$13,HolidayDates,"&lt;"&amp;P$13+7,HolidayDates,"&lt;&gt;"))</f>
        <v/>
      </c>
      <c r="Q21" s="28">
        <f>IF(Q$13="","",COUNTIFS(HolidayDates,"&gt;="&amp;Q$13,HolidayDates,"&lt;"&amp;Q$13+7,HolidayDates,"&lt;&gt;"))</f>
        <v/>
      </c>
      <c r="R21" s="28">
        <f>IF(R$13="","",COUNTIFS(HolidayDates,"&gt;="&amp;R$13,HolidayDates,"&lt;"&amp;R$13+7,HolidayDates,"&lt;&gt;"))</f>
        <v/>
      </c>
      <c r="S21" s="28">
        <f>IF(S$13="","",COUNTIFS(HolidayDates,"&gt;="&amp;S$13,HolidayDates,"&lt;"&amp;S$13+7,HolidayDates,"&lt;&gt;"))</f>
        <v/>
      </c>
      <c r="T21" s="28">
        <f>IF(T$13="","",COUNTIFS(HolidayDates,"&gt;="&amp;T$13,HolidayDates,"&lt;"&amp;T$13+7,HolidayDates,"&lt;&gt;"))</f>
        <v/>
      </c>
      <c r="U21" s="28">
        <f>IF(U$13="","",COUNTIFS(HolidayDates,"&gt;="&amp;U$13,HolidayDates,"&lt;"&amp;U$13+7,HolidayDates,"&lt;&gt;"))</f>
        <v/>
      </c>
      <c r="V21" s="28">
        <f>IF(V$13="","",COUNTIFS(HolidayDates,"&gt;="&amp;V$13,HolidayDates,"&lt;"&amp;V$13+7,HolidayDates,"&lt;&gt;"))</f>
        <v/>
      </c>
      <c r="W21" s="28">
        <f>IF(W$13="","",COUNTIFS(HolidayDates,"&gt;="&amp;W$13,HolidayDates,"&lt;"&amp;W$13+7,HolidayDates,"&lt;&gt;"))</f>
        <v/>
      </c>
      <c r="X21" s="28">
        <f>IF(X$13="","",COUNTIFS(HolidayDates,"&gt;="&amp;X$13,HolidayDates,"&lt;"&amp;X$13+7,HolidayDates,"&lt;&gt;"))</f>
        <v/>
      </c>
      <c r="Y21" s="28">
        <f>IF(Y$13="","",COUNTIFS(HolidayDates,"&gt;="&amp;Y$13,HolidayDates,"&lt;"&amp;Y$13+7,HolidayDates,"&lt;&gt;"))</f>
        <v/>
      </c>
      <c r="Z21" s="28">
        <f>IF(Z$13="","",COUNTIFS(HolidayDates,"&gt;="&amp;Z$13,HolidayDates,"&lt;"&amp;Z$13+7,HolidayDates,"&lt;&gt;"))</f>
        <v/>
      </c>
      <c r="AA21" s="28">
        <f>IF(AA$13="","",COUNTIFS(HolidayDates,"&gt;="&amp;AA$13,HolidayDates,"&lt;"&amp;AA$13+7,HolidayDates,"&lt;&gt;"))</f>
        <v/>
      </c>
      <c r="AB21" s="28">
        <f>IF(AB$13="","",COUNTIFS(HolidayDates,"&gt;="&amp;AB$13,HolidayDates,"&lt;"&amp;AB$13+7,HolidayDates,"&lt;&gt;"))</f>
        <v/>
      </c>
      <c r="AC21" s="28">
        <f>IF(AC$13="","",COUNTIFS(HolidayDates,"&gt;="&amp;AC$13,HolidayDates,"&lt;"&amp;AC$13+7,HolidayDates,"&lt;&gt;"))</f>
        <v/>
      </c>
      <c r="AD21" s="28">
        <f>IF(AD$13="","",COUNTIFS(HolidayDates,"&gt;="&amp;AD$13,HolidayDates,"&lt;"&amp;AD$13+7,HolidayDates,"&lt;&gt;"))</f>
        <v/>
      </c>
      <c r="AE21" s="28">
        <f>IF(AE$13="","",COUNTIFS(HolidayDates,"&gt;="&amp;AE$13,HolidayDates,"&lt;"&amp;AE$13+7,HolidayDates,"&lt;&gt;"))</f>
        <v/>
      </c>
      <c r="AF21" s="28">
        <f>IF(AF$13="","",COUNTIFS(HolidayDates,"&gt;="&amp;AF$13,HolidayDates,"&lt;"&amp;AF$13+7,HolidayDates,"&lt;&gt;"))</f>
        <v/>
      </c>
      <c r="AG21" s="28">
        <f>IF(AG$13="","",COUNTIFS(HolidayDates,"&gt;="&amp;AG$13,HolidayDates,"&lt;"&amp;AG$13+7,HolidayDates,"&lt;&gt;"))</f>
        <v/>
      </c>
      <c r="AH21" s="28">
        <f>IF(AH$13="","",COUNTIFS(HolidayDates,"&gt;="&amp;AH$13,HolidayDates,"&lt;"&amp;AH$13+7,HolidayDates,"&lt;&gt;"))</f>
        <v/>
      </c>
      <c r="AI21" s="28">
        <f>IF(AI$13="","",COUNTIFS(HolidayDates,"&gt;="&amp;AI$13,HolidayDates,"&lt;"&amp;AI$13+7,HolidayDates,"&lt;&gt;"))</f>
        <v/>
      </c>
      <c r="AJ21" s="28">
        <f>IF(AJ$13="","",COUNTIFS(HolidayDates,"&gt;="&amp;AJ$13,HolidayDates,"&lt;"&amp;AJ$13+7,HolidayDates,"&lt;&gt;"))</f>
        <v/>
      </c>
      <c r="AK21" s="28">
        <f>IF(AK$13="","",COUNTIFS(HolidayDates,"&gt;="&amp;AK$13,HolidayDates,"&lt;"&amp;AK$13+7,HolidayDates,"&lt;&gt;"))</f>
        <v/>
      </c>
      <c r="AL21" s="28">
        <f>IF(AL$13="","",COUNTIFS(HolidayDates,"&gt;="&amp;AL$13,HolidayDates,"&lt;"&amp;AL$13+7,HolidayDates,"&lt;&gt;"))</f>
        <v/>
      </c>
      <c r="AM21" s="28">
        <f>IF(AM$13="","",COUNTIFS(HolidayDates,"&gt;="&amp;AM$13,HolidayDates,"&lt;"&amp;AM$13+7,HolidayDates,"&lt;&gt;"))</f>
        <v/>
      </c>
      <c r="AN21" s="28">
        <f>IF(AN$13="","",COUNTIFS(HolidayDates,"&gt;="&amp;AN$13,HolidayDates,"&lt;"&amp;AN$13+7,HolidayDates,"&lt;&gt;"))</f>
        <v/>
      </c>
      <c r="AO21" s="28">
        <f>IF(AO$13="","",COUNTIFS(HolidayDates,"&gt;="&amp;AO$13,HolidayDates,"&lt;"&amp;AO$13+7,HolidayDates,"&lt;&gt;"))</f>
        <v/>
      </c>
      <c r="AP21" s="28">
        <f>IF(AP$13="","",COUNTIFS(HolidayDates,"&gt;="&amp;AP$13,HolidayDates,"&lt;"&amp;AP$13+7,HolidayDates,"&lt;&gt;"))</f>
        <v/>
      </c>
      <c r="AQ21" s="28">
        <f>IF(AQ$13="","",COUNTIFS(HolidayDates,"&gt;="&amp;AQ$13,HolidayDates,"&lt;"&amp;AQ$13+7,HolidayDates,"&lt;&gt;"))</f>
        <v/>
      </c>
      <c r="AR21" s="28">
        <f>IF(AR$13="","",COUNTIFS(HolidayDates,"&gt;="&amp;AR$13,HolidayDates,"&lt;"&amp;AR$13+7,HolidayDates,"&lt;&gt;"))</f>
        <v/>
      </c>
      <c r="AS21" s="28">
        <f>IF(AS$13="","",COUNTIFS(HolidayDates,"&gt;="&amp;AS$13,HolidayDates,"&lt;"&amp;AS$13+7,HolidayDates,"&lt;&gt;"))</f>
        <v/>
      </c>
      <c r="AT21" s="28">
        <f>IF(AT$13="","",COUNTIFS(HolidayDates,"&gt;="&amp;AT$13,HolidayDates,"&lt;"&amp;AT$13+7,HolidayDates,"&lt;&gt;"))</f>
        <v/>
      </c>
      <c r="AU21" s="28">
        <f>IF(AU$13="","",COUNTIFS(HolidayDates,"&gt;="&amp;AU$13,HolidayDates,"&lt;"&amp;AU$13+7,HolidayDates,"&lt;&gt;"))</f>
        <v/>
      </c>
      <c r="AV21" s="28">
        <f>IF(AV$13="","",COUNTIFS(HolidayDates,"&gt;="&amp;AV$13,HolidayDates,"&lt;"&amp;AV$13+7,HolidayDates,"&lt;&gt;"))</f>
        <v/>
      </c>
      <c r="AW21" s="28">
        <f>IF(AW$13="","",COUNTIFS(HolidayDates,"&gt;="&amp;AW$13,HolidayDates,"&lt;"&amp;AW$13+7,HolidayDates,"&lt;&gt;"))</f>
        <v/>
      </c>
      <c r="AX21" s="28">
        <f>IF(AX$13="","",COUNTIFS(HolidayDates,"&gt;="&amp;AX$13,HolidayDates,"&lt;"&amp;AX$13+7,HolidayDates,"&lt;&gt;"))</f>
        <v/>
      </c>
      <c r="AY21" s="28">
        <f>IF(AY$13="","",COUNTIFS(HolidayDates,"&gt;="&amp;AY$13,HolidayDates,"&lt;"&amp;AY$13+7,HolidayDates,"&lt;&gt;"))</f>
        <v/>
      </c>
      <c r="AZ21" s="28">
        <f>IF(AZ$13="","",COUNTIFS(HolidayDates,"&gt;="&amp;AZ$13,HolidayDates,"&lt;"&amp;AZ$13+7,HolidayDates,"&lt;&gt;"))</f>
        <v/>
      </c>
      <c r="BA21" s="28">
        <f>IF(BA$13="","",COUNTIFS(HolidayDates,"&gt;="&amp;BA$13,HolidayDates,"&lt;"&amp;BA$13+7,HolidayDates,"&lt;&gt;"))</f>
        <v/>
      </c>
      <c r="BB21" s="28">
        <f>IF(BB$13="","",COUNTIFS(HolidayDates,"&gt;="&amp;BB$13,HolidayDates,"&lt;"&amp;BB$13+7,HolidayDates,"&lt;&gt;"))</f>
        <v/>
      </c>
      <c r="BC21" s="28">
        <f>IF(BC$13="","",COUNTIFS(HolidayDates,"&gt;="&amp;BC$13,HolidayDates,"&lt;"&amp;BC$13+7,HolidayDates,"&lt;&gt;"))</f>
        <v/>
      </c>
      <c r="BD21" s="28">
        <f>IF(BD$13="","",COUNTIFS(HolidayDates,"&gt;="&amp;BD$13,HolidayDates,"&lt;"&amp;BD$13+7,HolidayDates,"&lt;&gt;"))</f>
        <v/>
      </c>
      <c r="BE21" s="28">
        <f>IF(BE$13="","",COUNTIFS(HolidayDates,"&gt;="&amp;BE$13,HolidayDates,"&lt;"&amp;BE$13+7,HolidayDates,"&lt;&gt;"))</f>
        <v/>
      </c>
      <c r="BF21" s="28">
        <f>IF(BF$13="","",COUNTIFS(HolidayDates,"&gt;="&amp;BF$13,HolidayDates,"&lt;"&amp;BF$13+7,HolidayDates,"&lt;&gt;"))</f>
        <v/>
      </c>
      <c r="BG21" s="28">
        <f>IF(BG$13="","",COUNTIFS(HolidayDates,"&gt;="&amp;BG$13,HolidayDates,"&lt;"&amp;BG$13+7,HolidayDates,"&lt;&gt;"))</f>
        <v/>
      </c>
    </row>
    <row r="23">
      <c r="A23" s="2" t="inlineStr">
        <is>
          <t>使用提示（詳見「使用提示」工作表）</t>
        </is>
      </c>
    </row>
    <row r="24">
      <c r="A24" s="27" t="inlineStr">
        <is>
          <t>1. 請假：只在「請假登記」新增列（姓名＋日期＋AL/SL）；主表與月曆會自動顯示。</t>
        </is>
      </c>
    </row>
    <row r="25">
      <c r="A25" s="27" t="inlineStr">
        <is>
          <t>2. 補假：在「假期上班登記」對應假期列用下拉選擇上班人員；主表補假欄自動更新。</t>
        </is>
      </c>
    </row>
    <row r="26">
      <c r="A26" s="27" t="inlineStr">
        <is>
          <t>3. 換年：改「設定」顯示年份，並在「公眾假期」追加假期；基準日 2026-06-29 勿改。</t>
        </is>
      </c>
    </row>
    <row r="27">
      <c r="A27" s="27" t="inlineStr">
        <is>
          <t>4. 年假額度：在「設定」每人「年假額度（天）」各自填寫；剩餘年假＝個人額度−已用（按請假登記天數）。</t>
        </is>
      </c>
    </row>
    <row r="28">
      <c r="A28" s="27" t="inlineStr">
        <is>
          <t>5. 同週若有超過 2 人出現 AL 或 SL（週欄顯示），整欄標紅警示。</t>
        </is>
      </c>
    </row>
  </sheetData>
  <mergeCells count="8">
    <mergeCell ref="A24:F24"/>
    <mergeCell ref="A28:F28"/>
    <mergeCell ref="A27:F27"/>
    <mergeCell ref="A1:E1"/>
    <mergeCell ref="A3:C3"/>
    <mergeCell ref="A12:F12"/>
    <mergeCell ref="A26:F26"/>
    <mergeCell ref="A25:F25"/>
  </mergeCells>
  <conditionalFormatting sqref="G14:BG1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"P"</formula>
    </cfRule>
    <cfRule type="cellIs" priority="4" operator="equal" dxfId="3">
      <formula>"N"</formula>
    </cfRule>
    <cfRule type="cellIs" priority="5" operator="equal" dxfId="4">
      <formula>"AL"</formula>
    </cfRule>
    <cfRule type="cellIs" priority="6" operator="equal" dxfId="5">
      <formula>"SL"</formula>
    </cfRule>
  </conditionalFormatting>
  <conditionalFormatting sqref="B9:C14">
    <cfRule type="cellIs" priority="7" operator="equal" dxfId="0">
      <formula>"S"</formula>
    </cfRule>
    <cfRule type="cellIs" priority="8" operator="equal" dxfId="1">
      <formula>"A"</formula>
    </cfRule>
    <cfRule type="cellIs" priority="9" operator="equal" dxfId="2">
      <formula>"P"</formula>
    </cfRule>
    <cfRule type="cellIs" priority="10" operator="equal" dxfId="3">
      <formula>"N"</formula>
    </cfRule>
    <cfRule type="cellIs" priority="11" operator="equal" dxfId="4">
      <formula>"AL"</formula>
    </cfRule>
    <cfRule type="cellIs" priority="12" operator="equal" dxfId="5">
      <formula>"SL"</formula>
    </cfRule>
  </conditionalFormatting>
  <conditionalFormatting sqref="G13">
    <cfRule type="expression" priority="13" dxfId="6">
      <formula>AND(G$13&lt;&gt;"",COUNTIFS(HolidayDates,"&gt;="&amp;G$13,HolidayDates,"&lt;"&amp;G$13+7,HolidayDates,"&lt;&gt;")&gt;0)</formula>
    </cfRule>
  </conditionalFormatting>
  <conditionalFormatting sqref="G13:G20">
    <cfRule type="expression" priority="14" dxfId="7">
      <formula>(COUNTIF(G$14:G$19,"AL")+COUNTIF(G$14:G$19,"SL"))&gt;2</formula>
    </cfRule>
  </conditionalFormatting>
  <conditionalFormatting sqref="H13">
    <cfRule type="expression" priority="15" dxfId="6">
      <formula>AND(H$13&lt;&gt;"",COUNTIFS(HolidayDates,"&gt;="&amp;H$13,HolidayDates,"&lt;"&amp;H$13+7,HolidayDates,"&lt;&gt;")&gt;0)</formula>
    </cfRule>
  </conditionalFormatting>
  <conditionalFormatting sqref="H13:H20">
    <cfRule type="expression" priority="16" dxfId="7">
      <formula>(COUNTIF(H$14:H$19,"AL")+COUNTIF(H$14:H$19,"SL"))&gt;2</formula>
    </cfRule>
  </conditionalFormatting>
  <conditionalFormatting sqref="I13">
    <cfRule type="expression" priority="17" dxfId="6">
      <formula>AND(I$13&lt;&gt;"",COUNTIFS(HolidayDates,"&gt;="&amp;I$13,HolidayDates,"&lt;"&amp;I$13+7,HolidayDates,"&lt;&gt;")&gt;0)</formula>
    </cfRule>
  </conditionalFormatting>
  <conditionalFormatting sqref="I13:I20">
    <cfRule type="expression" priority="18" dxfId="7">
      <formula>(COUNTIF(I$14:I$19,"AL")+COUNTIF(I$14:I$19,"SL"))&gt;2</formula>
    </cfRule>
  </conditionalFormatting>
  <conditionalFormatting sqref="J13">
    <cfRule type="expression" priority="19" dxfId="6">
      <formula>AND(J$13&lt;&gt;"",COUNTIFS(HolidayDates,"&gt;="&amp;J$13,HolidayDates,"&lt;"&amp;J$13+7,HolidayDates,"&lt;&gt;")&gt;0)</formula>
    </cfRule>
  </conditionalFormatting>
  <conditionalFormatting sqref="J13:J20">
    <cfRule type="expression" priority="20" dxfId="7">
      <formula>(COUNTIF(J$14:J$19,"AL")+COUNTIF(J$14:J$19,"SL"))&gt;2</formula>
    </cfRule>
  </conditionalFormatting>
  <conditionalFormatting sqref="K13">
    <cfRule type="expression" priority="21" dxfId="6">
      <formula>AND(K$13&lt;&gt;"",COUNTIFS(HolidayDates,"&gt;="&amp;K$13,HolidayDates,"&lt;"&amp;K$13+7,HolidayDates,"&lt;&gt;")&gt;0)</formula>
    </cfRule>
  </conditionalFormatting>
  <conditionalFormatting sqref="K13:K20">
    <cfRule type="expression" priority="22" dxfId="7">
      <formula>(COUNTIF(K$14:K$19,"AL")+COUNTIF(K$14:K$19,"SL"))&gt;2</formula>
    </cfRule>
  </conditionalFormatting>
  <conditionalFormatting sqref="L13">
    <cfRule type="expression" priority="23" dxfId="6">
      <formula>AND(L$13&lt;&gt;"",COUNTIFS(HolidayDates,"&gt;="&amp;L$13,HolidayDates,"&lt;"&amp;L$13+7,HolidayDates,"&lt;&gt;")&gt;0)</formula>
    </cfRule>
  </conditionalFormatting>
  <conditionalFormatting sqref="L13:L20">
    <cfRule type="expression" priority="24" dxfId="7">
      <formula>(COUNTIF(L$14:L$19,"AL")+COUNTIF(L$14:L$19,"SL"))&gt;2</formula>
    </cfRule>
  </conditionalFormatting>
  <conditionalFormatting sqref="M13">
    <cfRule type="expression" priority="25" dxfId="6">
      <formula>AND(M$13&lt;&gt;"",COUNTIFS(HolidayDates,"&gt;="&amp;M$13,HolidayDates,"&lt;"&amp;M$13+7,HolidayDates,"&lt;&gt;")&gt;0)</formula>
    </cfRule>
  </conditionalFormatting>
  <conditionalFormatting sqref="M13:M20">
    <cfRule type="expression" priority="26" dxfId="7">
      <formula>(COUNTIF(M$14:M$19,"AL")+COUNTIF(M$14:M$19,"SL"))&gt;2</formula>
    </cfRule>
  </conditionalFormatting>
  <conditionalFormatting sqref="N13">
    <cfRule type="expression" priority="27" dxfId="6">
      <formula>AND(N$13&lt;&gt;"",COUNTIFS(HolidayDates,"&gt;="&amp;N$13,HolidayDates,"&lt;"&amp;N$13+7,HolidayDates,"&lt;&gt;")&gt;0)</formula>
    </cfRule>
  </conditionalFormatting>
  <conditionalFormatting sqref="N13:N20">
    <cfRule type="expression" priority="28" dxfId="7">
      <formula>(COUNTIF(N$14:N$19,"AL")+COUNTIF(N$14:N$19,"SL"))&gt;2</formula>
    </cfRule>
  </conditionalFormatting>
  <conditionalFormatting sqref="O13">
    <cfRule type="expression" priority="29" dxfId="6">
      <formula>AND(O$13&lt;&gt;"",COUNTIFS(HolidayDates,"&gt;="&amp;O$13,HolidayDates,"&lt;"&amp;O$13+7,HolidayDates,"&lt;&gt;")&gt;0)</formula>
    </cfRule>
  </conditionalFormatting>
  <conditionalFormatting sqref="O13:O20">
    <cfRule type="expression" priority="30" dxfId="7">
      <formula>(COUNTIF(O$14:O$19,"AL")+COUNTIF(O$14:O$19,"SL"))&gt;2</formula>
    </cfRule>
  </conditionalFormatting>
  <conditionalFormatting sqref="P13">
    <cfRule type="expression" priority="31" dxfId="6">
      <formula>AND(P$13&lt;&gt;"",COUNTIFS(HolidayDates,"&gt;="&amp;P$13,HolidayDates,"&lt;"&amp;P$13+7,HolidayDates,"&lt;&gt;")&gt;0)</formula>
    </cfRule>
  </conditionalFormatting>
  <conditionalFormatting sqref="P13:P20">
    <cfRule type="expression" priority="32" dxfId="7">
      <formula>(COUNTIF(P$14:P$19,"AL")+COUNTIF(P$14:P$19,"SL"))&gt;2</formula>
    </cfRule>
  </conditionalFormatting>
  <conditionalFormatting sqref="Q13">
    <cfRule type="expression" priority="33" dxfId="6">
      <formula>AND(Q$13&lt;&gt;"",COUNTIFS(HolidayDates,"&gt;="&amp;Q$13,HolidayDates,"&lt;"&amp;Q$13+7,HolidayDates,"&lt;&gt;")&gt;0)</formula>
    </cfRule>
  </conditionalFormatting>
  <conditionalFormatting sqref="Q13:Q20">
    <cfRule type="expression" priority="34" dxfId="7">
      <formula>(COUNTIF(Q$14:Q$19,"AL")+COUNTIF(Q$14:Q$19,"SL"))&gt;2</formula>
    </cfRule>
  </conditionalFormatting>
  <conditionalFormatting sqref="R13">
    <cfRule type="expression" priority="35" dxfId="6">
      <formula>AND(R$13&lt;&gt;"",COUNTIFS(HolidayDates,"&gt;="&amp;R$13,HolidayDates,"&lt;"&amp;R$13+7,HolidayDates,"&lt;&gt;")&gt;0)</formula>
    </cfRule>
  </conditionalFormatting>
  <conditionalFormatting sqref="R13:R20">
    <cfRule type="expression" priority="36" dxfId="7">
      <formula>(COUNTIF(R$14:R$19,"AL")+COUNTIF(R$14:R$19,"SL"))&gt;2</formula>
    </cfRule>
  </conditionalFormatting>
  <conditionalFormatting sqref="S13">
    <cfRule type="expression" priority="37" dxfId="6">
      <formula>AND(S$13&lt;&gt;"",COUNTIFS(HolidayDates,"&gt;="&amp;S$13,HolidayDates,"&lt;"&amp;S$13+7,HolidayDates,"&lt;&gt;")&gt;0)</formula>
    </cfRule>
  </conditionalFormatting>
  <conditionalFormatting sqref="S13:S20">
    <cfRule type="expression" priority="38" dxfId="7">
      <formula>(COUNTIF(S$14:S$19,"AL")+COUNTIF(S$14:S$19,"SL"))&gt;2</formula>
    </cfRule>
  </conditionalFormatting>
  <conditionalFormatting sqref="T13">
    <cfRule type="expression" priority="39" dxfId="6">
      <formula>AND(T$13&lt;&gt;"",COUNTIFS(HolidayDates,"&gt;="&amp;T$13,HolidayDates,"&lt;"&amp;T$13+7,HolidayDates,"&lt;&gt;")&gt;0)</formula>
    </cfRule>
  </conditionalFormatting>
  <conditionalFormatting sqref="T13:T20">
    <cfRule type="expression" priority="40" dxfId="7">
      <formula>(COUNTIF(T$14:T$19,"AL")+COUNTIF(T$14:T$19,"SL"))&gt;2</formula>
    </cfRule>
  </conditionalFormatting>
  <conditionalFormatting sqref="U13">
    <cfRule type="expression" priority="41" dxfId="6">
      <formula>AND(U$13&lt;&gt;"",COUNTIFS(HolidayDates,"&gt;="&amp;U$13,HolidayDates,"&lt;"&amp;U$13+7,HolidayDates,"&lt;&gt;")&gt;0)</formula>
    </cfRule>
  </conditionalFormatting>
  <conditionalFormatting sqref="U13:U20">
    <cfRule type="expression" priority="42" dxfId="7">
      <formula>(COUNTIF(U$14:U$19,"AL")+COUNTIF(U$14:U$19,"SL"))&gt;2</formula>
    </cfRule>
  </conditionalFormatting>
  <conditionalFormatting sqref="V13">
    <cfRule type="expression" priority="43" dxfId="6">
      <formula>AND(V$13&lt;&gt;"",COUNTIFS(HolidayDates,"&gt;="&amp;V$13,HolidayDates,"&lt;"&amp;V$13+7,HolidayDates,"&lt;&gt;")&gt;0)</formula>
    </cfRule>
  </conditionalFormatting>
  <conditionalFormatting sqref="V13:V20">
    <cfRule type="expression" priority="44" dxfId="7">
      <formula>(COUNTIF(V$14:V$19,"AL")+COUNTIF(V$14:V$19,"SL"))&gt;2</formula>
    </cfRule>
  </conditionalFormatting>
  <conditionalFormatting sqref="W13">
    <cfRule type="expression" priority="45" dxfId="6">
      <formula>AND(W$13&lt;&gt;"",COUNTIFS(HolidayDates,"&gt;="&amp;W$13,HolidayDates,"&lt;"&amp;W$13+7,HolidayDates,"&lt;&gt;")&gt;0)</formula>
    </cfRule>
  </conditionalFormatting>
  <conditionalFormatting sqref="W13:W20">
    <cfRule type="expression" priority="46" dxfId="7">
      <formula>(COUNTIF(W$14:W$19,"AL")+COUNTIF(W$14:W$19,"SL"))&gt;2</formula>
    </cfRule>
  </conditionalFormatting>
  <conditionalFormatting sqref="X13">
    <cfRule type="expression" priority="47" dxfId="6">
      <formula>AND(X$13&lt;&gt;"",COUNTIFS(HolidayDates,"&gt;="&amp;X$13,HolidayDates,"&lt;"&amp;X$13+7,HolidayDates,"&lt;&gt;")&gt;0)</formula>
    </cfRule>
  </conditionalFormatting>
  <conditionalFormatting sqref="X13:X20">
    <cfRule type="expression" priority="48" dxfId="7">
      <formula>(COUNTIF(X$14:X$19,"AL")+COUNTIF(X$14:X$19,"SL"))&gt;2</formula>
    </cfRule>
  </conditionalFormatting>
  <conditionalFormatting sqref="Y13">
    <cfRule type="expression" priority="49" dxfId="6">
      <formula>AND(Y$13&lt;&gt;"",COUNTIFS(HolidayDates,"&gt;="&amp;Y$13,HolidayDates,"&lt;"&amp;Y$13+7,HolidayDates,"&lt;&gt;")&gt;0)</formula>
    </cfRule>
  </conditionalFormatting>
  <conditionalFormatting sqref="Y13:Y20">
    <cfRule type="expression" priority="50" dxfId="7">
      <formula>(COUNTIF(Y$14:Y$19,"AL")+COUNTIF(Y$14:Y$19,"SL"))&gt;2</formula>
    </cfRule>
  </conditionalFormatting>
  <conditionalFormatting sqref="Z13">
    <cfRule type="expression" priority="51" dxfId="6">
      <formula>AND(Z$13&lt;&gt;"",COUNTIFS(HolidayDates,"&gt;="&amp;Z$13,HolidayDates,"&lt;"&amp;Z$13+7,HolidayDates,"&lt;&gt;")&gt;0)</formula>
    </cfRule>
  </conditionalFormatting>
  <conditionalFormatting sqref="Z13:Z20">
    <cfRule type="expression" priority="52" dxfId="7">
      <formula>(COUNTIF(Z$14:Z$19,"AL")+COUNTIF(Z$14:Z$19,"SL"))&gt;2</formula>
    </cfRule>
  </conditionalFormatting>
  <conditionalFormatting sqref="AA13">
    <cfRule type="expression" priority="53" dxfId="6">
      <formula>AND(AA$13&lt;&gt;"",COUNTIFS(HolidayDates,"&gt;="&amp;AA$13,HolidayDates,"&lt;"&amp;AA$13+7,HolidayDates,"&lt;&gt;")&gt;0)</formula>
    </cfRule>
  </conditionalFormatting>
  <conditionalFormatting sqref="AA13:AA20">
    <cfRule type="expression" priority="54" dxfId="7">
      <formula>(COUNTIF(AA$14:AA$19,"AL")+COUNTIF(AA$14:AA$19,"SL"))&gt;2</formula>
    </cfRule>
  </conditionalFormatting>
  <conditionalFormatting sqref="AB13">
    <cfRule type="expression" priority="55" dxfId="6">
      <formula>AND(AB$13&lt;&gt;"",COUNTIFS(HolidayDates,"&gt;="&amp;AB$13,HolidayDates,"&lt;"&amp;AB$13+7,HolidayDates,"&lt;&gt;")&gt;0)</formula>
    </cfRule>
  </conditionalFormatting>
  <conditionalFormatting sqref="AB13:AB20">
    <cfRule type="expression" priority="56" dxfId="7">
      <formula>(COUNTIF(AB$14:AB$19,"AL")+COUNTIF(AB$14:AB$19,"SL"))&gt;2</formula>
    </cfRule>
  </conditionalFormatting>
  <conditionalFormatting sqref="AC13">
    <cfRule type="expression" priority="57" dxfId="6">
      <formula>AND(AC$13&lt;&gt;"",COUNTIFS(HolidayDates,"&gt;="&amp;AC$13,HolidayDates,"&lt;"&amp;AC$13+7,HolidayDates,"&lt;&gt;")&gt;0)</formula>
    </cfRule>
  </conditionalFormatting>
  <conditionalFormatting sqref="AC13:AC20">
    <cfRule type="expression" priority="58" dxfId="7">
      <formula>(COUNTIF(AC$14:AC$19,"AL")+COUNTIF(AC$14:AC$19,"SL"))&gt;2</formula>
    </cfRule>
  </conditionalFormatting>
  <conditionalFormatting sqref="AD13">
    <cfRule type="expression" priority="59" dxfId="6">
      <formula>AND(AD$13&lt;&gt;"",COUNTIFS(HolidayDates,"&gt;="&amp;AD$13,HolidayDates,"&lt;"&amp;AD$13+7,HolidayDates,"&lt;&gt;")&gt;0)</formula>
    </cfRule>
  </conditionalFormatting>
  <conditionalFormatting sqref="AD13:AD20">
    <cfRule type="expression" priority="60" dxfId="7">
      <formula>(COUNTIF(AD$14:AD$19,"AL")+COUNTIF(AD$14:AD$19,"SL"))&gt;2</formula>
    </cfRule>
  </conditionalFormatting>
  <conditionalFormatting sqref="AE13">
    <cfRule type="expression" priority="61" dxfId="6">
      <formula>AND(AE$13&lt;&gt;"",COUNTIFS(HolidayDates,"&gt;="&amp;AE$13,HolidayDates,"&lt;"&amp;AE$13+7,HolidayDates,"&lt;&gt;")&gt;0)</formula>
    </cfRule>
  </conditionalFormatting>
  <conditionalFormatting sqref="AE13:AE20">
    <cfRule type="expression" priority="62" dxfId="7">
      <formula>(COUNTIF(AE$14:AE$19,"AL")+COUNTIF(AE$14:AE$19,"SL"))&gt;2</formula>
    </cfRule>
  </conditionalFormatting>
  <conditionalFormatting sqref="AF13">
    <cfRule type="expression" priority="63" dxfId="6">
      <formula>AND(AF$13&lt;&gt;"",COUNTIFS(HolidayDates,"&gt;="&amp;AF$13,HolidayDates,"&lt;"&amp;AF$13+7,HolidayDates,"&lt;&gt;")&gt;0)</formula>
    </cfRule>
  </conditionalFormatting>
  <conditionalFormatting sqref="AF13:AF20">
    <cfRule type="expression" priority="64" dxfId="7">
      <formula>(COUNTIF(AF$14:AF$19,"AL")+COUNTIF(AF$14:AF$19,"SL"))&gt;2</formula>
    </cfRule>
  </conditionalFormatting>
  <conditionalFormatting sqref="AG13">
    <cfRule type="expression" priority="65" dxfId="6">
      <formula>AND(AG$13&lt;&gt;"",COUNTIFS(HolidayDates,"&gt;="&amp;AG$13,HolidayDates,"&lt;"&amp;AG$13+7,HolidayDates,"&lt;&gt;")&gt;0)</formula>
    </cfRule>
  </conditionalFormatting>
  <conditionalFormatting sqref="AG13:AG20">
    <cfRule type="expression" priority="66" dxfId="7">
      <formula>(COUNTIF(AG$14:AG$19,"AL")+COUNTIF(AG$14:AG$19,"SL"))&gt;2</formula>
    </cfRule>
  </conditionalFormatting>
  <conditionalFormatting sqref="AH13">
    <cfRule type="expression" priority="67" dxfId="6">
      <formula>AND(AH$13&lt;&gt;"",COUNTIFS(HolidayDates,"&gt;="&amp;AH$13,HolidayDates,"&lt;"&amp;AH$13+7,HolidayDates,"&lt;&gt;")&gt;0)</formula>
    </cfRule>
  </conditionalFormatting>
  <conditionalFormatting sqref="AH13:AH20">
    <cfRule type="expression" priority="68" dxfId="7">
      <formula>(COUNTIF(AH$14:AH$19,"AL")+COUNTIF(AH$14:AH$19,"SL"))&gt;2</formula>
    </cfRule>
  </conditionalFormatting>
  <conditionalFormatting sqref="AI13">
    <cfRule type="expression" priority="69" dxfId="6">
      <formula>AND(AI$13&lt;&gt;"",COUNTIFS(HolidayDates,"&gt;="&amp;AI$13,HolidayDates,"&lt;"&amp;AI$13+7,HolidayDates,"&lt;&gt;")&gt;0)</formula>
    </cfRule>
  </conditionalFormatting>
  <conditionalFormatting sqref="AI13:AI20">
    <cfRule type="expression" priority="70" dxfId="7">
      <formula>(COUNTIF(AI$14:AI$19,"AL")+COUNTIF(AI$14:AI$19,"SL"))&gt;2</formula>
    </cfRule>
  </conditionalFormatting>
  <conditionalFormatting sqref="AJ13">
    <cfRule type="expression" priority="71" dxfId="6">
      <formula>AND(AJ$13&lt;&gt;"",COUNTIFS(HolidayDates,"&gt;="&amp;AJ$13,HolidayDates,"&lt;"&amp;AJ$13+7,HolidayDates,"&lt;&gt;")&gt;0)</formula>
    </cfRule>
  </conditionalFormatting>
  <conditionalFormatting sqref="AJ13:AJ20">
    <cfRule type="expression" priority="72" dxfId="7">
      <formula>(COUNTIF(AJ$14:AJ$19,"AL")+COUNTIF(AJ$14:AJ$19,"SL"))&gt;2</formula>
    </cfRule>
  </conditionalFormatting>
  <conditionalFormatting sqref="AK13">
    <cfRule type="expression" priority="73" dxfId="6">
      <formula>AND(AK$13&lt;&gt;"",COUNTIFS(HolidayDates,"&gt;="&amp;AK$13,HolidayDates,"&lt;"&amp;AK$13+7,HolidayDates,"&lt;&gt;")&gt;0)</formula>
    </cfRule>
  </conditionalFormatting>
  <conditionalFormatting sqref="AK13:AK20">
    <cfRule type="expression" priority="74" dxfId="7">
      <formula>(COUNTIF(AK$14:AK$19,"AL")+COUNTIF(AK$14:AK$19,"SL"))&gt;2</formula>
    </cfRule>
  </conditionalFormatting>
  <conditionalFormatting sqref="AL13">
    <cfRule type="expression" priority="75" dxfId="6">
      <formula>AND(AL$13&lt;&gt;"",COUNTIFS(HolidayDates,"&gt;="&amp;AL$13,HolidayDates,"&lt;"&amp;AL$13+7,HolidayDates,"&lt;&gt;")&gt;0)</formula>
    </cfRule>
  </conditionalFormatting>
  <conditionalFormatting sqref="AL13:AL20">
    <cfRule type="expression" priority="76" dxfId="7">
      <formula>(COUNTIF(AL$14:AL$19,"AL")+COUNTIF(AL$14:AL$19,"SL"))&gt;2</formula>
    </cfRule>
  </conditionalFormatting>
  <conditionalFormatting sqref="AM13">
    <cfRule type="expression" priority="77" dxfId="6">
      <formula>AND(AM$13&lt;&gt;"",COUNTIFS(HolidayDates,"&gt;="&amp;AM$13,HolidayDates,"&lt;"&amp;AM$13+7,HolidayDates,"&lt;&gt;")&gt;0)</formula>
    </cfRule>
  </conditionalFormatting>
  <conditionalFormatting sqref="AM13:AM20">
    <cfRule type="expression" priority="78" dxfId="7">
      <formula>(COUNTIF(AM$14:AM$19,"AL")+COUNTIF(AM$14:AM$19,"SL"))&gt;2</formula>
    </cfRule>
  </conditionalFormatting>
  <conditionalFormatting sqref="AN13">
    <cfRule type="expression" priority="79" dxfId="6">
      <formula>AND(AN$13&lt;&gt;"",COUNTIFS(HolidayDates,"&gt;="&amp;AN$13,HolidayDates,"&lt;"&amp;AN$13+7,HolidayDates,"&lt;&gt;")&gt;0)</formula>
    </cfRule>
  </conditionalFormatting>
  <conditionalFormatting sqref="AN13:AN20">
    <cfRule type="expression" priority="80" dxfId="7">
      <formula>(COUNTIF(AN$14:AN$19,"AL")+COUNTIF(AN$14:AN$19,"SL"))&gt;2</formula>
    </cfRule>
  </conditionalFormatting>
  <conditionalFormatting sqref="AO13">
    <cfRule type="expression" priority="81" dxfId="6">
      <formula>AND(AO$13&lt;&gt;"",COUNTIFS(HolidayDates,"&gt;="&amp;AO$13,HolidayDates,"&lt;"&amp;AO$13+7,HolidayDates,"&lt;&gt;")&gt;0)</formula>
    </cfRule>
  </conditionalFormatting>
  <conditionalFormatting sqref="AO13:AO20">
    <cfRule type="expression" priority="82" dxfId="7">
      <formula>(COUNTIF(AO$14:AO$19,"AL")+COUNTIF(AO$14:AO$19,"SL"))&gt;2</formula>
    </cfRule>
  </conditionalFormatting>
  <conditionalFormatting sqref="AP13">
    <cfRule type="expression" priority="83" dxfId="6">
      <formula>AND(AP$13&lt;&gt;"",COUNTIFS(HolidayDates,"&gt;="&amp;AP$13,HolidayDates,"&lt;"&amp;AP$13+7,HolidayDates,"&lt;&gt;")&gt;0)</formula>
    </cfRule>
  </conditionalFormatting>
  <conditionalFormatting sqref="AP13:AP20">
    <cfRule type="expression" priority="84" dxfId="7">
      <formula>(COUNTIF(AP$14:AP$19,"AL")+COUNTIF(AP$14:AP$19,"SL"))&gt;2</formula>
    </cfRule>
  </conditionalFormatting>
  <conditionalFormatting sqref="AQ13">
    <cfRule type="expression" priority="85" dxfId="6">
      <formula>AND(AQ$13&lt;&gt;"",COUNTIFS(HolidayDates,"&gt;="&amp;AQ$13,HolidayDates,"&lt;"&amp;AQ$13+7,HolidayDates,"&lt;&gt;")&gt;0)</formula>
    </cfRule>
  </conditionalFormatting>
  <conditionalFormatting sqref="AQ13:AQ20">
    <cfRule type="expression" priority="86" dxfId="7">
      <formula>(COUNTIF(AQ$14:AQ$19,"AL")+COUNTIF(AQ$14:AQ$19,"SL"))&gt;2</formula>
    </cfRule>
  </conditionalFormatting>
  <conditionalFormatting sqref="AR13">
    <cfRule type="expression" priority="87" dxfId="6">
      <formula>AND(AR$13&lt;&gt;"",COUNTIFS(HolidayDates,"&gt;="&amp;AR$13,HolidayDates,"&lt;"&amp;AR$13+7,HolidayDates,"&lt;&gt;")&gt;0)</formula>
    </cfRule>
  </conditionalFormatting>
  <conditionalFormatting sqref="AR13:AR20">
    <cfRule type="expression" priority="88" dxfId="7">
      <formula>(COUNTIF(AR$14:AR$19,"AL")+COUNTIF(AR$14:AR$19,"SL"))&gt;2</formula>
    </cfRule>
  </conditionalFormatting>
  <conditionalFormatting sqref="AS13">
    <cfRule type="expression" priority="89" dxfId="6">
      <formula>AND(AS$13&lt;&gt;"",COUNTIFS(HolidayDates,"&gt;="&amp;AS$13,HolidayDates,"&lt;"&amp;AS$13+7,HolidayDates,"&lt;&gt;")&gt;0)</formula>
    </cfRule>
  </conditionalFormatting>
  <conditionalFormatting sqref="AS13:AS20">
    <cfRule type="expression" priority="90" dxfId="7">
      <formula>(COUNTIF(AS$14:AS$19,"AL")+COUNTIF(AS$14:AS$19,"SL"))&gt;2</formula>
    </cfRule>
  </conditionalFormatting>
  <conditionalFormatting sqref="AT13">
    <cfRule type="expression" priority="91" dxfId="6">
      <formula>AND(AT$13&lt;&gt;"",COUNTIFS(HolidayDates,"&gt;="&amp;AT$13,HolidayDates,"&lt;"&amp;AT$13+7,HolidayDates,"&lt;&gt;")&gt;0)</formula>
    </cfRule>
  </conditionalFormatting>
  <conditionalFormatting sqref="AT13:AT20">
    <cfRule type="expression" priority="92" dxfId="7">
      <formula>(COUNTIF(AT$14:AT$19,"AL")+COUNTIF(AT$14:AT$19,"SL"))&gt;2</formula>
    </cfRule>
  </conditionalFormatting>
  <conditionalFormatting sqref="AU13">
    <cfRule type="expression" priority="93" dxfId="6">
      <formula>AND(AU$13&lt;&gt;"",COUNTIFS(HolidayDates,"&gt;="&amp;AU$13,HolidayDates,"&lt;"&amp;AU$13+7,HolidayDates,"&lt;&gt;")&gt;0)</formula>
    </cfRule>
  </conditionalFormatting>
  <conditionalFormatting sqref="AU13:AU20">
    <cfRule type="expression" priority="94" dxfId="7">
      <formula>(COUNTIF(AU$14:AU$19,"AL")+COUNTIF(AU$14:AU$19,"SL"))&gt;2</formula>
    </cfRule>
  </conditionalFormatting>
  <conditionalFormatting sqref="AV13">
    <cfRule type="expression" priority="95" dxfId="6">
      <formula>AND(AV$13&lt;&gt;"",COUNTIFS(HolidayDates,"&gt;="&amp;AV$13,HolidayDates,"&lt;"&amp;AV$13+7,HolidayDates,"&lt;&gt;")&gt;0)</formula>
    </cfRule>
  </conditionalFormatting>
  <conditionalFormatting sqref="AV13:AV20">
    <cfRule type="expression" priority="96" dxfId="7">
      <formula>(COUNTIF(AV$14:AV$19,"AL")+COUNTIF(AV$14:AV$19,"SL"))&gt;2</formula>
    </cfRule>
  </conditionalFormatting>
  <conditionalFormatting sqref="AW13">
    <cfRule type="expression" priority="97" dxfId="6">
      <formula>AND(AW$13&lt;&gt;"",COUNTIFS(HolidayDates,"&gt;="&amp;AW$13,HolidayDates,"&lt;"&amp;AW$13+7,HolidayDates,"&lt;&gt;")&gt;0)</formula>
    </cfRule>
  </conditionalFormatting>
  <conditionalFormatting sqref="AW13:AW20">
    <cfRule type="expression" priority="98" dxfId="7">
      <formula>(COUNTIF(AW$14:AW$19,"AL")+COUNTIF(AW$14:AW$19,"SL"))&gt;2</formula>
    </cfRule>
  </conditionalFormatting>
  <conditionalFormatting sqref="AX13">
    <cfRule type="expression" priority="99" dxfId="6">
      <formula>AND(AX$13&lt;&gt;"",COUNTIFS(HolidayDates,"&gt;="&amp;AX$13,HolidayDates,"&lt;"&amp;AX$13+7,HolidayDates,"&lt;&gt;")&gt;0)</formula>
    </cfRule>
  </conditionalFormatting>
  <conditionalFormatting sqref="AX13:AX20">
    <cfRule type="expression" priority="100" dxfId="7">
      <formula>(COUNTIF(AX$14:AX$19,"AL")+COUNTIF(AX$14:AX$19,"SL"))&gt;2</formula>
    </cfRule>
  </conditionalFormatting>
  <conditionalFormatting sqref="AY13">
    <cfRule type="expression" priority="101" dxfId="6">
      <formula>AND(AY$13&lt;&gt;"",COUNTIFS(HolidayDates,"&gt;="&amp;AY$13,HolidayDates,"&lt;"&amp;AY$13+7,HolidayDates,"&lt;&gt;")&gt;0)</formula>
    </cfRule>
  </conditionalFormatting>
  <conditionalFormatting sqref="AY13:AY20">
    <cfRule type="expression" priority="102" dxfId="7">
      <formula>(COUNTIF(AY$14:AY$19,"AL")+COUNTIF(AY$14:AY$19,"SL"))&gt;2</formula>
    </cfRule>
  </conditionalFormatting>
  <conditionalFormatting sqref="AZ13">
    <cfRule type="expression" priority="103" dxfId="6">
      <formula>AND(AZ$13&lt;&gt;"",COUNTIFS(HolidayDates,"&gt;="&amp;AZ$13,HolidayDates,"&lt;"&amp;AZ$13+7,HolidayDates,"&lt;&gt;")&gt;0)</formula>
    </cfRule>
  </conditionalFormatting>
  <conditionalFormatting sqref="AZ13:AZ20">
    <cfRule type="expression" priority="104" dxfId="7">
      <formula>(COUNTIF(AZ$14:AZ$19,"AL")+COUNTIF(AZ$14:AZ$19,"SL"))&gt;2</formula>
    </cfRule>
  </conditionalFormatting>
  <conditionalFormatting sqref="BA13">
    <cfRule type="expression" priority="105" dxfId="6">
      <formula>AND(BA$13&lt;&gt;"",COUNTIFS(HolidayDates,"&gt;="&amp;BA$13,HolidayDates,"&lt;"&amp;BA$13+7,HolidayDates,"&lt;&gt;")&gt;0)</formula>
    </cfRule>
  </conditionalFormatting>
  <conditionalFormatting sqref="BA13:BA20">
    <cfRule type="expression" priority="106" dxfId="7">
      <formula>(COUNTIF(BA$14:BA$19,"AL")+COUNTIF(BA$14:BA$19,"SL"))&gt;2</formula>
    </cfRule>
  </conditionalFormatting>
  <conditionalFormatting sqref="BB13">
    <cfRule type="expression" priority="107" dxfId="6">
      <formula>AND(BB$13&lt;&gt;"",COUNTIFS(HolidayDates,"&gt;="&amp;BB$13,HolidayDates,"&lt;"&amp;BB$13+7,HolidayDates,"&lt;&gt;")&gt;0)</formula>
    </cfRule>
  </conditionalFormatting>
  <conditionalFormatting sqref="BB13:BB20">
    <cfRule type="expression" priority="108" dxfId="7">
      <formula>(COUNTIF(BB$14:BB$19,"AL")+COUNTIF(BB$14:BB$19,"SL"))&gt;2</formula>
    </cfRule>
  </conditionalFormatting>
  <conditionalFormatting sqref="BC13">
    <cfRule type="expression" priority="109" dxfId="6">
      <formula>AND(BC$13&lt;&gt;"",COUNTIFS(HolidayDates,"&gt;="&amp;BC$13,HolidayDates,"&lt;"&amp;BC$13+7,HolidayDates,"&lt;&gt;")&gt;0)</formula>
    </cfRule>
  </conditionalFormatting>
  <conditionalFormatting sqref="BC13:BC20">
    <cfRule type="expression" priority="110" dxfId="7">
      <formula>(COUNTIF(BC$14:BC$19,"AL")+COUNTIF(BC$14:BC$19,"SL"))&gt;2</formula>
    </cfRule>
  </conditionalFormatting>
  <conditionalFormatting sqref="BD13">
    <cfRule type="expression" priority="111" dxfId="6">
      <formula>AND(BD$13&lt;&gt;"",COUNTIFS(HolidayDates,"&gt;="&amp;BD$13,HolidayDates,"&lt;"&amp;BD$13+7,HolidayDates,"&lt;&gt;")&gt;0)</formula>
    </cfRule>
  </conditionalFormatting>
  <conditionalFormatting sqref="BD13:BD20">
    <cfRule type="expression" priority="112" dxfId="7">
      <formula>(COUNTIF(BD$14:BD$19,"AL")+COUNTIF(BD$14:BD$19,"SL"))&gt;2</formula>
    </cfRule>
  </conditionalFormatting>
  <conditionalFormatting sqref="BE13">
    <cfRule type="expression" priority="113" dxfId="6">
      <formula>AND(BE$13&lt;&gt;"",COUNTIFS(HolidayDates,"&gt;="&amp;BE$13,HolidayDates,"&lt;"&amp;BE$13+7,HolidayDates,"&lt;&gt;")&gt;0)</formula>
    </cfRule>
  </conditionalFormatting>
  <conditionalFormatting sqref="BE13:BE20">
    <cfRule type="expression" priority="114" dxfId="7">
      <formula>(COUNTIF(BE$14:BE$19,"AL")+COUNTIF(BE$14:BE$19,"SL"))&gt;2</formula>
    </cfRule>
  </conditionalFormatting>
  <conditionalFormatting sqref="BF13">
    <cfRule type="expression" priority="115" dxfId="6">
      <formula>AND(BF$13&lt;&gt;"",COUNTIFS(HolidayDates,"&gt;="&amp;BF$13,HolidayDates,"&lt;"&amp;BF$13+7,HolidayDates,"&lt;&gt;")&gt;0)</formula>
    </cfRule>
  </conditionalFormatting>
  <conditionalFormatting sqref="BF13:BF20">
    <cfRule type="expression" priority="116" dxfId="7">
      <formula>(COUNTIF(BF$14:BF$19,"AL")+COUNTIF(BF$14:BF$19,"SL"))&gt;2</formula>
    </cfRule>
  </conditionalFormatting>
  <conditionalFormatting sqref="BG13">
    <cfRule type="expression" priority="117" dxfId="6">
      <formula>AND(BG$13&lt;&gt;"",COUNTIFS(HolidayDates,"&gt;="&amp;BG$13,HolidayDates,"&lt;"&amp;BG$13+7,HolidayDates,"&lt;&gt;")&gt;0)</formula>
    </cfRule>
  </conditionalFormatting>
  <conditionalFormatting sqref="BG13:BG20">
    <cfRule type="expression" priority="118" dxfId="7">
      <formula>(COUNTIF(BG$14:BG$19,"AL")+COUNTIF(BG$14:BG$19,"SL"))&gt;2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4" customWidth="1" min="5" max="5"/>
    <col width="50" customWidth="1" min="6" max="6"/>
    <col width="12" customWidth="1" min="7" max="7"/>
  </cols>
  <sheetData>
    <row r="1">
      <c r="A1" s="1" t="inlineStr">
        <is>
          <t>部門更表 — 設定區</t>
        </is>
      </c>
    </row>
    <row r="3">
      <c r="A3" s="2" t="inlineStr">
        <is>
          <t>顯示年份</t>
        </is>
      </c>
      <c r="B3" s="29" t="n">
        <v>2026</v>
      </c>
      <c r="C3" s="30" t="inlineStr">
        <is>
          <t>← 每年年頭只改此數字，全年週份日期與班次自動重算</t>
        </is>
      </c>
    </row>
    <row r="4">
      <c r="A4" s="2" t="inlineStr">
        <is>
          <t>輪班基準日（永久固定）</t>
        </is>
      </c>
      <c r="B4" s="31" t="n">
        <v>46202</v>
      </c>
      <c r="C4" s="30" t="inlineStr">
        <is>
          <t>← 永遠不要修改！所有輪班以此日為錨點跨年連續計算</t>
        </is>
      </c>
    </row>
    <row r="5">
      <c r="A5" t="inlineStr">
        <is>
          <t>說明</t>
        </is>
      </c>
      <c r="B5" s="27" t="inlineStr">
        <is>
          <t>16週循環：4週A → 4週P → 4週N → 4週P。Offset 錯開 0/4/8/12。年假額度改為每人獨立設定（見下表）。請假請只在「請假登記」輸入。</t>
        </is>
      </c>
    </row>
    <row r="7">
      <c r="A7" s="18" t="inlineStr">
        <is>
          <t>編號</t>
        </is>
      </c>
      <c r="B7" s="18" t="inlineStr">
        <is>
          <t>員工姓名</t>
        </is>
      </c>
      <c r="C7" s="18" t="inlineStr">
        <is>
          <t>班次類型</t>
        </is>
      </c>
      <c r="D7" s="18" t="inlineStr">
        <is>
          <t>初始Offset</t>
        </is>
      </c>
      <c r="E7" s="18" t="inlineStr">
        <is>
          <t>年假額度（天）</t>
        </is>
      </c>
      <c r="F7" s="18" t="inlineStr">
        <is>
          <t>說明</t>
        </is>
      </c>
    </row>
    <row r="8">
      <c r="A8" s="32" t="n">
        <v>1</v>
      </c>
      <c r="B8" s="33" t="inlineStr">
        <is>
          <t>ARTHUR</t>
        </is>
      </c>
      <c r="C8" s="22" t="inlineStr">
        <is>
          <t>S</t>
        </is>
      </c>
      <c r="D8" s="22" t="n"/>
      <c r="E8" s="22" t="n">
        <v>12</v>
      </c>
      <c r="F8" s="34" t="inlineStr">
        <is>
          <t>固定 S 班，全年不變</t>
        </is>
      </c>
    </row>
    <row r="9">
      <c r="A9" s="32" t="n">
        <v>2</v>
      </c>
      <c r="B9" s="33" t="inlineStr">
        <is>
          <t>PATRICK</t>
        </is>
      </c>
      <c r="C9" s="22" t="inlineStr">
        <is>
          <t>R</t>
        </is>
      </c>
      <c r="D9" s="22" t="n">
        <v>0</v>
      </c>
      <c r="E9" s="22" t="n">
        <v>12</v>
      </c>
      <c r="F9" s="34" t="inlineStr">
        <is>
          <t>輪班 offset=0</t>
        </is>
      </c>
    </row>
    <row r="10">
      <c r="A10" s="32" t="n">
        <v>3</v>
      </c>
      <c r="B10" s="33" t="inlineStr">
        <is>
          <t>CARREY</t>
        </is>
      </c>
      <c r="C10" s="22" t="inlineStr">
        <is>
          <t>R</t>
        </is>
      </c>
      <c r="D10" s="22" t="n">
        <v>4</v>
      </c>
      <c r="E10" s="22" t="n">
        <v>12</v>
      </c>
      <c r="F10" s="34" t="inlineStr">
        <is>
          <t>輪班 offset=4</t>
        </is>
      </c>
    </row>
    <row r="11">
      <c r="A11" s="32" t="n">
        <v>4</v>
      </c>
      <c r="B11" s="33" t="inlineStr">
        <is>
          <t>CESC</t>
        </is>
      </c>
      <c r="C11" s="22" t="inlineStr">
        <is>
          <t>R</t>
        </is>
      </c>
      <c r="D11" s="22" t="n">
        <v>8</v>
      </c>
      <c r="E11" s="22" t="n">
        <v>12</v>
      </c>
      <c r="F11" s="34" t="inlineStr">
        <is>
          <t>輪班 offset=8</t>
        </is>
      </c>
    </row>
    <row r="12">
      <c r="A12" s="32" t="n">
        <v>5</v>
      </c>
      <c r="B12" s="33" t="inlineStr">
        <is>
          <t>LUCAS</t>
        </is>
      </c>
      <c r="C12" s="22" t="inlineStr">
        <is>
          <t>R</t>
        </is>
      </c>
      <c r="D12" s="22" t="n">
        <v>12</v>
      </c>
      <c r="E12" s="22" t="n">
        <v>12</v>
      </c>
      <c r="F12" s="34" t="inlineStr">
        <is>
          <t>輪班 offset=12</t>
        </is>
      </c>
    </row>
    <row r="13">
      <c r="A13" s="35" t="n">
        <v>6</v>
      </c>
      <c r="B13" s="33" t="n"/>
      <c r="C13" s="22" t="inlineStr">
        <is>
          <t>V</t>
        </is>
      </c>
      <c r="D13" s="22" t="n">
        <v>0</v>
      </c>
      <c r="E13" s="22" t="n"/>
      <c r="F13" s="36" t="inlineStr">
        <is>
          <t>填姓名後類型改 R/S，並設定 Offset 與年假額度</t>
        </is>
      </c>
    </row>
    <row r="15">
      <c r="A15" s="2" t="inlineStr">
        <is>
          <t>班次／假別顏色圖例（與排班表、月曆一致）</t>
        </is>
      </c>
    </row>
    <row r="16">
      <c r="A16" s="9" t="inlineStr">
        <is>
          <t>S</t>
        </is>
      </c>
      <c r="B16" s="10" t="inlineStr">
        <is>
          <t>A</t>
        </is>
      </c>
      <c r="C16" s="11" t="inlineStr">
        <is>
          <t>P</t>
        </is>
      </c>
      <c r="D16" s="12" t="inlineStr">
        <is>
          <t>N</t>
        </is>
      </c>
      <c r="E16" s="13" t="inlineStr">
        <is>
          <t>AL</t>
        </is>
      </c>
      <c r="F16" s="8" t="inlineStr">
        <is>
          <t>SL</t>
        </is>
      </c>
    </row>
    <row r="17">
      <c r="A17" s="37" t="inlineStr">
        <is>
          <t>正常班</t>
        </is>
      </c>
      <c r="B17" s="37" t="inlineStr">
        <is>
          <t>早班</t>
        </is>
      </c>
      <c r="C17" s="37" t="inlineStr">
        <is>
          <t>中班</t>
        </is>
      </c>
      <c r="D17" s="37" t="inlineStr">
        <is>
          <t>晚班</t>
        </is>
      </c>
      <c r="E17" s="37" t="inlineStr">
        <is>
          <t>年假</t>
        </is>
      </c>
      <c r="F17" s="37" t="inlineStr">
        <is>
          <t>病假</t>
        </is>
      </c>
    </row>
    <row r="19">
      <c r="A19" s="2" t="inlineStr">
        <is>
          <t>輪班公式</t>
        </is>
      </c>
    </row>
    <row r="20">
      <c r="A20" s="27" t="inlineStr">
        <is>
          <t>週序=INT((該週一−基準日)/7)+Offset；MOD(週序,16)：0–3→A，4–7→P，8–11→N，12–15→P</t>
        </is>
      </c>
    </row>
  </sheetData>
  <mergeCells count="3">
    <mergeCell ref="B5:G5"/>
    <mergeCell ref="A20:G20"/>
    <mergeCell ref="A1:G1"/>
  </mergeCells>
  <dataValidations count="1">
    <dataValidation sqref="C8:C13" showDropDown="0" showInputMessage="0" showErrorMessage="0" allowBlank="1" type="list">
      <formula1>"S,R,V"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請假登記（全年唯一請假輸入源）</t>
        </is>
      </c>
    </row>
    <row r="2">
      <c r="A2" s="30" t="inlineStr">
        <is>
          <t>每一行＝一位員工某一天的請假。連續多日請逐日新增多行。排班表／月曆的 AL・SL 顯示與年假統計皆從此表用公式查找，請勿在其他表輸入請假。</t>
        </is>
      </c>
    </row>
    <row r="4">
      <c r="A4" s="18" t="inlineStr">
        <is>
          <t>員工姓名</t>
        </is>
      </c>
      <c r="B4" s="18" t="inlineStr">
        <is>
          <t>請假日期</t>
        </is>
      </c>
      <c r="C4" s="18" t="inlineStr">
        <is>
          <t>假別</t>
        </is>
      </c>
      <c r="E4" s="2" t="inlineStr">
        <is>
          <t>提示</t>
        </is>
      </c>
    </row>
    <row r="5">
      <c r="A5" s="22" t="n"/>
      <c r="B5" s="38" t="n"/>
      <c r="C5" s="22" t="n"/>
      <c r="E5" s="27" t="inlineStr">
        <is>
          <t>假別只能填 AL 或 SL；日期請填實際請假當天（非週一）。</t>
        </is>
      </c>
    </row>
    <row r="6">
      <c r="A6" s="22" t="n"/>
      <c r="B6" s="38" t="n"/>
      <c r="C6" s="22" t="n"/>
    </row>
    <row r="7">
      <c r="A7" s="22" t="n"/>
      <c r="B7" s="38" t="n"/>
      <c r="C7" s="22" t="n"/>
    </row>
    <row r="8">
      <c r="A8" s="22" t="n"/>
      <c r="B8" s="38" t="n"/>
      <c r="C8" s="22" t="n"/>
    </row>
    <row r="9">
      <c r="A9" s="22" t="n"/>
      <c r="B9" s="38" t="n"/>
      <c r="C9" s="22" t="n"/>
    </row>
    <row r="10">
      <c r="A10" s="22" t="n"/>
      <c r="B10" s="38" t="n"/>
      <c r="C10" s="22" t="n"/>
    </row>
    <row r="11">
      <c r="A11" s="22" t="n"/>
      <c r="B11" s="38" t="n"/>
      <c r="C11" s="22" t="n"/>
    </row>
    <row r="12">
      <c r="A12" s="22" t="n"/>
      <c r="B12" s="38" t="n"/>
      <c r="C12" s="22" t="n"/>
    </row>
    <row r="13">
      <c r="A13" s="22" t="n"/>
      <c r="B13" s="38" t="n"/>
      <c r="C13" s="22" t="n"/>
    </row>
    <row r="14">
      <c r="A14" s="22" t="n"/>
      <c r="B14" s="38" t="n"/>
      <c r="C14" s="22" t="n"/>
    </row>
    <row r="15">
      <c r="A15" s="22" t="n"/>
      <c r="B15" s="38" t="n"/>
      <c r="C15" s="22" t="n"/>
    </row>
    <row r="16">
      <c r="A16" s="22" t="n"/>
      <c r="B16" s="38" t="n"/>
      <c r="C16" s="22" t="n"/>
    </row>
    <row r="17">
      <c r="A17" s="22" t="n"/>
      <c r="B17" s="38" t="n"/>
      <c r="C17" s="22" t="n"/>
    </row>
    <row r="18">
      <c r="A18" s="22" t="n"/>
      <c r="B18" s="38" t="n"/>
      <c r="C18" s="22" t="n"/>
    </row>
    <row r="19">
      <c r="A19" s="22" t="n"/>
      <c r="B19" s="38" t="n"/>
      <c r="C19" s="22" t="n"/>
    </row>
    <row r="20">
      <c r="A20" s="22" t="n"/>
      <c r="B20" s="38" t="n"/>
      <c r="C20" s="22" t="n"/>
    </row>
    <row r="21">
      <c r="A21" s="22" t="n"/>
      <c r="B21" s="38" t="n"/>
      <c r="C21" s="22" t="n"/>
    </row>
    <row r="22">
      <c r="A22" s="22" t="n"/>
      <c r="B22" s="38" t="n"/>
      <c r="C22" s="22" t="n"/>
    </row>
    <row r="23">
      <c r="A23" s="22" t="n"/>
      <c r="B23" s="38" t="n"/>
      <c r="C23" s="22" t="n"/>
    </row>
    <row r="24">
      <c r="A24" s="22" t="n"/>
      <c r="B24" s="38" t="n"/>
      <c r="C24" s="22" t="n"/>
    </row>
    <row r="25">
      <c r="A25" s="22" t="n"/>
      <c r="B25" s="38" t="n"/>
      <c r="C25" s="22" t="n"/>
    </row>
    <row r="26">
      <c r="A26" s="22" t="n"/>
      <c r="B26" s="38" t="n"/>
      <c r="C26" s="22" t="n"/>
    </row>
    <row r="27">
      <c r="A27" s="22" t="n"/>
      <c r="B27" s="38" t="n"/>
      <c r="C27" s="22" t="n"/>
    </row>
    <row r="28">
      <c r="A28" s="22" t="n"/>
      <c r="B28" s="38" t="n"/>
      <c r="C28" s="22" t="n"/>
    </row>
    <row r="29">
      <c r="A29" s="22" t="n"/>
      <c r="B29" s="38" t="n"/>
      <c r="C29" s="22" t="n"/>
    </row>
    <row r="30">
      <c r="A30" s="22" t="n"/>
      <c r="B30" s="38" t="n"/>
      <c r="C30" s="22" t="n"/>
    </row>
    <row r="31">
      <c r="A31" s="22" t="n"/>
      <c r="B31" s="38" t="n"/>
      <c r="C31" s="22" t="n"/>
    </row>
    <row r="32">
      <c r="A32" s="22" t="n"/>
      <c r="B32" s="38" t="n"/>
      <c r="C32" s="22" t="n"/>
    </row>
    <row r="33">
      <c r="A33" s="22" t="n"/>
      <c r="B33" s="38" t="n"/>
      <c r="C33" s="22" t="n"/>
    </row>
    <row r="34">
      <c r="A34" s="22" t="n"/>
      <c r="B34" s="38" t="n"/>
      <c r="C34" s="22" t="n"/>
    </row>
    <row r="35">
      <c r="A35" s="22" t="n"/>
      <c r="B35" s="38" t="n"/>
      <c r="C35" s="22" t="n"/>
    </row>
    <row r="36">
      <c r="A36" s="22" t="n"/>
      <c r="B36" s="38" t="n"/>
      <c r="C36" s="22" t="n"/>
    </row>
    <row r="37">
      <c r="A37" s="22" t="n"/>
      <c r="B37" s="38" t="n"/>
      <c r="C37" s="22" t="n"/>
    </row>
    <row r="38">
      <c r="A38" s="22" t="n"/>
      <c r="B38" s="38" t="n"/>
      <c r="C38" s="22" t="n"/>
    </row>
    <row r="39">
      <c r="A39" s="22" t="n"/>
      <c r="B39" s="38" t="n"/>
      <c r="C39" s="22" t="n"/>
    </row>
    <row r="40">
      <c r="A40" s="22" t="n"/>
      <c r="B40" s="38" t="n"/>
      <c r="C40" s="22" t="n"/>
    </row>
    <row r="41">
      <c r="A41" s="22" t="n"/>
      <c r="B41" s="38" t="n"/>
      <c r="C41" s="22" t="n"/>
    </row>
    <row r="42">
      <c r="A42" s="22" t="n"/>
      <c r="B42" s="38" t="n"/>
      <c r="C42" s="22" t="n"/>
    </row>
    <row r="43">
      <c r="A43" s="22" t="n"/>
      <c r="B43" s="38" t="n"/>
      <c r="C43" s="22" t="n"/>
    </row>
    <row r="44">
      <c r="A44" s="22" t="n"/>
      <c r="B44" s="38" t="n"/>
      <c r="C44" s="22" t="n"/>
    </row>
    <row r="45">
      <c r="A45" s="22" t="n"/>
      <c r="B45" s="38" t="n"/>
      <c r="C45" s="22" t="n"/>
    </row>
    <row r="46">
      <c r="A46" s="22" t="n"/>
      <c r="B46" s="38" t="n"/>
      <c r="C46" s="22" t="n"/>
    </row>
    <row r="47">
      <c r="A47" s="22" t="n"/>
      <c r="B47" s="38" t="n"/>
      <c r="C47" s="22" t="n"/>
    </row>
    <row r="48">
      <c r="A48" s="22" t="n"/>
      <c r="B48" s="38" t="n"/>
      <c r="C48" s="22" t="n"/>
    </row>
    <row r="49">
      <c r="A49" s="22" t="n"/>
      <c r="B49" s="38" t="n"/>
      <c r="C49" s="22" t="n"/>
    </row>
    <row r="50">
      <c r="A50" s="22" t="n"/>
      <c r="B50" s="38" t="n"/>
      <c r="C50" s="22" t="n"/>
    </row>
    <row r="51">
      <c r="A51" s="22" t="n"/>
      <c r="B51" s="38" t="n"/>
      <c r="C51" s="22" t="n"/>
    </row>
    <row r="52">
      <c r="A52" s="22" t="n"/>
      <c r="B52" s="38" t="n"/>
      <c r="C52" s="22" t="n"/>
    </row>
    <row r="53">
      <c r="A53" s="22" t="n"/>
      <c r="B53" s="38" t="n"/>
      <c r="C53" s="22" t="n"/>
    </row>
    <row r="54">
      <c r="A54" s="22" t="n"/>
      <c r="B54" s="38" t="n"/>
      <c r="C54" s="22" t="n"/>
    </row>
    <row r="55">
      <c r="A55" s="22" t="n"/>
      <c r="B55" s="38" t="n"/>
      <c r="C55" s="22" t="n"/>
    </row>
    <row r="56">
      <c r="A56" s="22" t="n"/>
      <c r="B56" s="38" t="n"/>
      <c r="C56" s="22" t="n"/>
    </row>
    <row r="57">
      <c r="A57" s="22" t="n"/>
      <c r="B57" s="38" t="n"/>
      <c r="C57" s="22" t="n"/>
    </row>
    <row r="58">
      <c r="A58" s="22" t="n"/>
      <c r="B58" s="38" t="n"/>
      <c r="C58" s="22" t="n"/>
    </row>
    <row r="59">
      <c r="A59" s="22" t="n"/>
      <c r="B59" s="38" t="n"/>
      <c r="C59" s="22" t="n"/>
    </row>
    <row r="60">
      <c r="A60" s="22" t="n"/>
      <c r="B60" s="38" t="n"/>
      <c r="C60" s="22" t="n"/>
    </row>
    <row r="61">
      <c r="A61" s="22" t="n"/>
      <c r="B61" s="38" t="n"/>
      <c r="C61" s="22" t="n"/>
    </row>
    <row r="62">
      <c r="A62" s="22" t="n"/>
      <c r="B62" s="38" t="n"/>
      <c r="C62" s="22" t="n"/>
    </row>
    <row r="63">
      <c r="A63" s="22" t="n"/>
      <c r="B63" s="38" t="n"/>
      <c r="C63" s="22" t="n"/>
    </row>
    <row r="64">
      <c r="A64" s="22" t="n"/>
      <c r="B64" s="38" t="n"/>
      <c r="C64" s="22" t="n"/>
    </row>
    <row r="65">
      <c r="A65" s="22" t="n"/>
      <c r="B65" s="38" t="n"/>
      <c r="C65" s="22" t="n"/>
    </row>
    <row r="66">
      <c r="A66" s="22" t="n"/>
      <c r="B66" s="38" t="n"/>
      <c r="C66" s="22" t="n"/>
    </row>
    <row r="67">
      <c r="A67" s="22" t="n"/>
      <c r="B67" s="38" t="n"/>
      <c r="C67" s="22" t="n"/>
    </row>
    <row r="68">
      <c r="A68" s="22" t="n"/>
      <c r="B68" s="38" t="n"/>
      <c r="C68" s="22" t="n"/>
    </row>
    <row r="69">
      <c r="A69" s="22" t="n"/>
      <c r="B69" s="38" t="n"/>
      <c r="C69" s="22" t="n"/>
    </row>
    <row r="70">
      <c r="A70" s="22" t="n"/>
      <c r="B70" s="38" t="n"/>
      <c r="C70" s="22" t="n"/>
    </row>
    <row r="71">
      <c r="A71" s="22" t="n"/>
      <c r="B71" s="38" t="n"/>
      <c r="C71" s="22" t="n"/>
    </row>
    <row r="72">
      <c r="A72" s="22" t="n"/>
      <c r="B72" s="38" t="n"/>
      <c r="C72" s="22" t="n"/>
    </row>
    <row r="73">
      <c r="A73" s="22" t="n"/>
      <c r="B73" s="38" t="n"/>
      <c r="C73" s="22" t="n"/>
    </row>
    <row r="74">
      <c r="A74" s="22" t="n"/>
      <c r="B74" s="38" t="n"/>
      <c r="C74" s="22" t="n"/>
    </row>
    <row r="75">
      <c r="A75" s="22" t="n"/>
      <c r="B75" s="38" t="n"/>
      <c r="C75" s="22" t="n"/>
    </row>
    <row r="76">
      <c r="A76" s="22" t="n"/>
      <c r="B76" s="38" t="n"/>
      <c r="C76" s="22" t="n"/>
    </row>
    <row r="77">
      <c r="A77" s="22" t="n"/>
      <c r="B77" s="38" t="n"/>
      <c r="C77" s="22" t="n"/>
    </row>
    <row r="78">
      <c r="A78" s="22" t="n"/>
      <c r="B78" s="38" t="n"/>
      <c r="C78" s="22" t="n"/>
    </row>
    <row r="79">
      <c r="A79" s="22" t="n"/>
      <c r="B79" s="38" t="n"/>
      <c r="C79" s="22" t="n"/>
    </row>
    <row r="80">
      <c r="A80" s="22" t="n"/>
      <c r="B80" s="38" t="n"/>
      <c r="C80" s="22" t="n"/>
    </row>
    <row r="81">
      <c r="A81" s="22" t="n"/>
      <c r="B81" s="38" t="n"/>
      <c r="C81" s="22" t="n"/>
    </row>
    <row r="82">
      <c r="A82" s="22" t="n"/>
      <c r="B82" s="38" t="n"/>
      <c r="C82" s="22" t="n"/>
    </row>
    <row r="83">
      <c r="A83" s="22" t="n"/>
      <c r="B83" s="38" t="n"/>
      <c r="C83" s="22" t="n"/>
    </row>
    <row r="84">
      <c r="A84" s="22" t="n"/>
      <c r="B84" s="38" t="n"/>
      <c r="C84" s="22" t="n"/>
    </row>
    <row r="85">
      <c r="A85" s="22" t="n"/>
      <c r="B85" s="38" t="n"/>
      <c r="C85" s="22" t="n"/>
    </row>
    <row r="86">
      <c r="A86" s="22" t="n"/>
      <c r="B86" s="38" t="n"/>
      <c r="C86" s="22" t="n"/>
    </row>
    <row r="87">
      <c r="A87" s="22" t="n"/>
      <c r="B87" s="38" t="n"/>
      <c r="C87" s="22" t="n"/>
    </row>
    <row r="88">
      <c r="A88" s="22" t="n"/>
      <c r="B88" s="38" t="n"/>
      <c r="C88" s="22" t="n"/>
    </row>
    <row r="89">
      <c r="A89" s="22" t="n"/>
      <c r="B89" s="38" t="n"/>
      <c r="C89" s="22" t="n"/>
    </row>
    <row r="90">
      <c r="A90" s="22" t="n"/>
      <c r="B90" s="38" t="n"/>
      <c r="C90" s="22" t="n"/>
    </row>
    <row r="91">
      <c r="A91" s="22" t="n"/>
      <c r="B91" s="38" t="n"/>
      <c r="C91" s="22" t="n"/>
    </row>
    <row r="92">
      <c r="A92" s="22" t="n"/>
      <c r="B92" s="38" t="n"/>
      <c r="C92" s="22" t="n"/>
    </row>
    <row r="93">
      <c r="A93" s="22" t="n"/>
      <c r="B93" s="38" t="n"/>
      <c r="C93" s="22" t="n"/>
    </row>
    <row r="94">
      <c r="A94" s="22" t="n"/>
      <c r="B94" s="38" t="n"/>
      <c r="C94" s="22" t="n"/>
    </row>
    <row r="95">
      <c r="A95" s="22" t="n"/>
      <c r="B95" s="38" t="n"/>
      <c r="C95" s="22" t="n"/>
    </row>
    <row r="96">
      <c r="A96" s="22" t="n"/>
      <c r="B96" s="38" t="n"/>
      <c r="C96" s="22" t="n"/>
    </row>
    <row r="97">
      <c r="A97" s="22" t="n"/>
      <c r="B97" s="38" t="n"/>
      <c r="C97" s="22" t="n"/>
    </row>
    <row r="98">
      <c r="A98" s="22" t="n"/>
      <c r="B98" s="38" t="n"/>
      <c r="C98" s="22" t="n"/>
    </row>
    <row r="99">
      <c r="A99" s="22" t="n"/>
      <c r="B99" s="38" t="n"/>
      <c r="C99" s="22" t="n"/>
    </row>
    <row r="100">
      <c r="A100" s="22" t="n"/>
      <c r="B100" s="38" t="n"/>
      <c r="C100" s="22" t="n"/>
    </row>
    <row r="101">
      <c r="A101" s="22" t="n"/>
      <c r="B101" s="38" t="n"/>
      <c r="C101" s="22" t="n"/>
    </row>
    <row r="102">
      <c r="A102" s="22" t="n"/>
      <c r="B102" s="38" t="n"/>
      <c r="C102" s="22" t="n"/>
    </row>
    <row r="103">
      <c r="A103" s="22" t="n"/>
      <c r="B103" s="38" t="n"/>
      <c r="C103" s="22" t="n"/>
    </row>
    <row r="104">
      <c r="A104" s="22" t="n"/>
      <c r="B104" s="38" t="n"/>
      <c r="C104" s="22" t="n"/>
    </row>
    <row r="105">
      <c r="A105" s="22" t="n"/>
      <c r="B105" s="38" t="n"/>
      <c r="C105" s="22" t="n"/>
    </row>
    <row r="106">
      <c r="A106" s="22" t="n"/>
      <c r="B106" s="38" t="n"/>
      <c r="C106" s="22" t="n"/>
    </row>
    <row r="107">
      <c r="A107" s="22" t="n"/>
      <c r="B107" s="38" t="n"/>
      <c r="C107" s="22" t="n"/>
    </row>
    <row r="108">
      <c r="A108" s="22" t="n"/>
      <c r="B108" s="38" t="n"/>
      <c r="C108" s="22" t="n"/>
    </row>
    <row r="109">
      <c r="A109" s="22" t="n"/>
      <c r="B109" s="38" t="n"/>
      <c r="C109" s="22" t="n"/>
    </row>
    <row r="110">
      <c r="A110" s="22" t="n"/>
      <c r="B110" s="38" t="n"/>
      <c r="C110" s="22" t="n"/>
    </row>
    <row r="111">
      <c r="A111" s="22" t="n"/>
      <c r="B111" s="38" t="n"/>
      <c r="C111" s="22" t="n"/>
    </row>
    <row r="112">
      <c r="A112" s="22" t="n"/>
      <c r="B112" s="38" t="n"/>
      <c r="C112" s="22" t="n"/>
    </row>
    <row r="113">
      <c r="A113" s="22" t="n"/>
      <c r="B113" s="38" t="n"/>
      <c r="C113" s="22" t="n"/>
    </row>
    <row r="114">
      <c r="A114" s="22" t="n"/>
      <c r="B114" s="38" t="n"/>
      <c r="C114" s="22" t="n"/>
    </row>
    <row r="115">
      <c r="A115" s="22" t="n"/>
      <c r="B115" s="38" t="n"/>
      <c r="C115" s="22" t="n"/>
    </row>
    <row r="116">
      <c r="A116" s="22" t="n"/>
      <c r="B116" s="38" t="n"/>
      <c r="C116" s="22" t="n"/>
    </row>
    <row r="117">
      <c r="A117" s="22" t="n"/>
      <c r="B117" s="38" t="n"/>
      <c r="C117" s="22" t="n"/>
    </row>
    <row r="118">
      <c r="A118" s="22" t="n"/>
      <c r="B118" s="38" t="n"/>
      <c r="C118" s="22" t="n"/>
    </row>
    <row r="119">
      <c r="A119" s="22" t="n"/>
      <c r="B119" s="38" t="n"/>
      <c r="C119" s="22" t="n"/>
    </row>
    <row r="120">
      <c r="A120" s="22" t="n"/>
      <c r="B120" s="38" t="n"/>
      <c r="C120" s="22" t="n"/>
    </row>
    <row r="121">
      <c r="A121" s="22" t="n"/>
      <c r="B121" s="38" t="n"/>
      <c r="C121" s="22" t="n"/>
    </row>
    <row r="122">
      <c r="A122" s="22" t="n"/>
      <c r="B122" s="38" t="n"/>
      <c r="C122" s="22" t="n"/>
    </row>
    <row r="123">
      <c r="A123" s="22" t="n"/>
      <c r="B123" s="38" t="n"/>
      <c r="C123" s="22" t="n"/>
    </row>
    <row r="124">
      <c r="A124" s="22" t="n"/>
      <c r="B124" s="38" t="n"/>
      <c r="C124" s="22" t="n"/>
    </row>
    <row r="125">
      <c r="A125" s="22" t="n"/>
      <c r="B125" s="38" t="n"/>
      <c r="C125" s="22" t="n"/>
    </row>
    <row r="126">
      <c r="A126" s="22" t="n"/>
      <c r="B126" s="38" t="n"/>
      <c r="C126" s="22" t="n"/>
    </row>
    <row r="127">
      <c r="A127" s="22" t="n"/>
      <c r="B127" s="38" t="n"/>
      <c r="C127" s="22" t="n"/>
    </row>
    <row r="128">
      <c r="A128" s="22" t="n"/>
      <c r="B128" s="38" t="n"/>
      <c r="C128" s="22" t="n"/>
    </row>
    <row r="129">
      <c r="A129" s="22" t="n"/>
      <c r="B129" s="38" t="n"/>
      <c r="C129" s="22" t="n"/>
    </row>
    <row r="130">
      <c r="A130" s="22" t="n"/>
      <c r="B130" s="38" t="n"/>
      <c r="C130" s="22" t="n"/>
    </row>
    <row r="131">
      <c r="A131" s="22" t="n"/>
      <c r="B131" s="38" t="n"/>
      <c r="C131" s="22" t="n"/>
    </row>
    <row r="132">
      <c r="A132" s="22" t="n"/>
      <c r="B132" s="38" t="n"/>
      <c r="C132" s="22" t="n"/>
    </row>
    <row r="133">
      <c r="A133" s="22" t="n"/>
      <c r="B133" s="38" t="n"/>
      <c r="C133" s="22" t="n"/>
    </row>
    <row r="134">
      <c r="A134" s="22" t="n"/>
      <c r="B134" s="38" t="n"/>
      <c r="C134" s="22" t="n"/>
    </row>
    <row r="135">
      <c r="A135" s="22" t="n"/>
      <c r="B135" s="38" t="n"/>
      <c r="C135" s="22" t="n"/>
    </row>
    <row r="136">
      <c r="A136" s="22" t="n"/>
      <c r="B136" s="38" t="n"/>
      <c r="C136" s="22" t="n"/>
    </row>
    <row r="137">
      <c r="A137" s="22" t="n"/>
      <c r="B137" s="38" t="n"/>
      <c r="C137" s="22" t="n"/>
    </row>
    <row r="138">
      <c r="A138" s="22" t="n"/>
      <c r="B138" s="38" t="n"/>
      <c r="C138" s="22" t="n"/>
    </row>
    <row r="139">
      <c r="A139" s="22" t="n"/>
      <c r="B139" s="38" t="n"/>
      <c r="C139" s="22" t="n"/>
    </row>
    <row r="140">
      <c r="A140" s="22" t="n"/>
      <c r="B140" s="38" t="n"/>
      <c r="C140" s="22" t="n"/>
    </row>
    <row r="141">
      <c r="A141" s="22" t="n"/>
      <c r="B141" s="38" t="n"/>
      <c r="C141" s="22" t="n"/>
    </row>
    <row r="142">
      <c r="A142" s="22" t="n"/>
      <c r="B142" s="38" t="n"/>
      <c r="C142" s="22" t="n"/>
    </row>
    <row r="143">
      <c r="A143" s="22" t="n"/>
      <c r="B143" s="38" t="n"/>
      <c r="C143" s="22" t="n"/>
    </row>
    <row r="144">
      <c r="A144" s="22" t="n"/>
      <c r="B144" s="38" t="n"/>
      <c r="C144" s="22" t="n"/>
    </row>
    <row r="145">
      <c r="A145" s="22" t="n"/>
      <c r="B145" s="38" t="n"/>
      <c r="C145" s="22" t="n"/>
    </row>
    <row r="146">
      <c r="A146" s="22" t="n"/>
      <c r="B146" s="38" t="n"/>
      <c r="C146" s="22" t="n"/>
    </row>
    <row r="147">
      <c r="A147" s="22" t="n"/>
      <c r="B147" s="38" t="n"/>
      <c r="C147" s="22" t="n"/>
    </row>
    <row r="148">
      <c r="A148" s="22" t="n"/>
      <c r="B148" s="38" t="n"/>
      <c r="C148" s="22" t="n"/>
    </row>
    <row r="149">
      <c r="A149" s="22" t="n"/>
      <c r="B149" s="38" t="n"/>
      <c r="C149" s="22" t="n"/>
    </row>
    <row r="150">
      <c r="A150" s="22" t="n"/>
      <c r="B150" s="38" t="n"/>
      <c r="C150" s="22" t="n"/>
    </row>
    <row r="151">
      <c r="A151" s="22" t="n"/>
      <c r="B151" s="38" t="n"/>
      <c r="C151" s="22" t="n"/>
    </row>
    <row r="152">
      <c r="A152" s="22" t="n"/>
      <c r="B152" s="38" t="n"/>
      <c r="C152" s="22" t="n"/>
    </row>
    <row r="153">
      <c r="A153" s="22" t="n"/>
      <c r="B153" s="38" t="n"/>
      <c r="C153" s="22" t="n"/>
    </row>
    <row r="154">
      <c r="A154" s="22" t="n"/>
      <c r="B154" s="38" t="n"/>
      <c r="C154" s="22" t="n"/>
    </row>
    <row r="155">
      <c r="A155" s="22" t="n"/>
      <c r="B155" s="38" t="n"/>
      <c r="C155" s="22" t="n"/>
    </row>
    <row r="156">
      <c r="A156" s="22" t="n"/>
      <c r="B156" s="38" t="n"/>
      <c r="C156" s="22" t="n"/>
    </row>
    <row r="157">
      <c r="A157" s="22" t="n"/>
      <c r="B157" s="38" t="n"/>
      <c r="C157" s="22" t="n"/>
    </row>
    <row r="158">
      <c r="A158" s="22" t="n"/>
      <c r="B158" s="38" t="n"/>
      <c r="C158" s="22" t="n"/>
    </row>
    <row r="159">
      <c r="A159" s="22" t="n"/>
      <c r="B159" s="38" t="n"/>
      <c r="C159" s="22" t="n"/>
    </row>
    <row r="160">
      <c r="A160" s="22" t="n"/>
      <c r="B160" s="38" t="n"/>
      <c r="C160" s="22" t="n"/>
    </row>
    <row r="161">
      <c r="A161" s="22" t="n"/>
      <c r="B161" s="38" t="n"/>
      <c r="C161" s="22" t="n"/>
    </row>
    <row r="162">
      <c r="A162" s="22" t="n"/>
      <c r="B162" s="38" t="n"/>
      <c r="C162" s="22" t="n"/>
    </row>
    <row r="163">
      <c r="A163" s="22" t="n"/>
      <c r="B163" s="38" t="n"/>
      <c r="C163" s="22" t="n"/>
    </row>
    <row r="164">
      <c r="A164" s="22" t="n"/>
      <c r="B164" s="38" t="n"/>
      <c r="C164" s="22" t="n"/>
    </row>
    <row r="165">
      <c r="A165" s="22" t="n"/>
      <c r="B165" s="38" t="n"/>
      <c r="C165" s="22" t="n"/>
    </row>
    <row r="166">
      <c r="A166" s="22" t="n"/>
      <c r="B166" s="38" t="n"/>
      <c r="C166" s="22" t="n"/>
    </row>
    <row r="167">
      <c r="A167" s="22" t="n"/>
      <c r="B167" s="38" t="n"/>
      <c r="C167" s="22" t="n"/>
    </row>
    <row r="168">
      <c r="A168" s="22" t="n"/>
      <c r="B168" s="38" t="n"/>
      <c r="C168" s="22" t="n"/>
    </row>
    <row r="169">
      <c r="A169" s="22" t="n"/>
      <c r="B169" s="38" t="n"/>
      <c r="C169" s="22" t="n"/>
    </row>
    <row r="170">
      <c r="A170" s="22" t="n"/>
      <c r="B170" s="38" t="n"/>
      <c r="C170" s="22" t="n"/>
    </row>
    <row r="171">
      <c r="A171" s="22" t="n"/>
      <c r="B171" s="38" t="n"/>
      <c r="C171" s="22" t="n"/>
    </row>
    <row r="172">
      <c r="A172" s="22" t="n"/>
      <c r="B172" s="38" t="n"/>
      <c r="C172" s="22" t="n"/>
    </row>
    <row r="173">
      <c r="A173" s="22" t="n"/>
      <c r="B173" s="38" t="n"/>
      <c r="C173" s="22" t="n"/>
    </row>
    <row r="174">
      <c r="A174" s="22" t="n"/>
      <c r="B174" s="38" t="n"/>
      <c r="C174" s="22" t="n"/>
    </row>
    <row r="175">
      <c r="A175" s="22" t="n"/>
      <c r="B175" s="38" t="n"/>
      <c r="C175" s="22" t="n"/>
    </row>
    <row r="176">
      <c r="A176" s="22" t="n"/>
      <c r="B176" s="38" t="n"/>
      <c r="C176" s="22" t="n"/>
    </row>
    <row r="177">
      <c r="A177" s="22" t="n"/>
      <c r="B177" s="38" t="n"/>
      <c r="C177" s="22" t="n"/>
    </row>
    <row r="178">
      <c r="A178" s="22" t="n"/>
      <c r="B178" s="38" t="n"/>
      <c r="C178" s="22" t="n"/>
    </row>
    <row r="179">
      <c r="A179" s="22" t="n"/>
      <c r="B179" s="38" t="n"/>
      <c r="C179" s="22" t="n"/>
    </row>
    <row r="180">
      <c r="A180" s="22" t="n"/>
      <c r="B180" s="38" t="n"/>
      <c r="C180" s="22" t="n"/>
    </row>
    <row r="181">
      <c r="A181" s="22" t="n"/>
      <c r="B181" s="38" t="n"/>
      <c r="C181" s="22" t="n"/>
    </row>
    <row r="182">
      <c r="A182" s="22" t="n"/>
      <c r="B182" s="38" t="n"/>
      <c r="C182" s="22" t="n"/>
    </row>
    <row r="183">
      <c r="A183" s="22" t="n"/>
      <c r="B183" s="38" t="n"/>
      <c r="C183" s="22" t="n"/>
    </row>
    <row r="184">
      <c r="A184" s="22" t="n"/>
      <c r="B184" s="38" t="n"/>
      <c r="C184" s="22" t="n"/>
    </row>
    <row r="185">
      <c r="A185" s="22" t="n"/>
      <c r="B185" s="38" t="n"/>
      <c r="C185" s="22" t="n"/>
    </row>
    <row r="186">
      <c r="A186" s="22" t="n"/>
      <c r="B186" s="38" t="n"/>
      <c r="C186" s="22" t="n"/>
    </row>
    <row r="187">
      <c r="A187" s="22" t="n"/>
      <c r="B187" s="38" t="n"/>
      <c r="C187" s="22" t="n"/>
    </row>
    <row r="188">
      <c r="A188" s="22" t="n"/>
      <c r="B188" s="38" t="n"/>
      <c r="C188" s="22" t="n"/>
    </row>
    <row r="189">
      <c r="A189" s="22" t="n"/>
      <c r="B189" s="38" t="n"/>
      <c r="C189" s="22" t="n"/>
    </row>
    <row r="190">
      <c r="A190" s="22" t="n"/>
      <c r="B190" s="38" t="n"/>
      <c r="C190" s="22" t="n"/>
    </row>
    <row r="191">
      <c r="A191" s="22" t="n"/>
      <c r="B191" s="38" t="n"/>
      <c r="C191" s="22" t="n"/>
    </row>
    <row r="192">
      <c r="A192" s="22" t="n"/>
      <c r="B192" s="38" t="n"/>
      <c r="C192" s="22" t="n"/>
    </row>
    <row r="193">
      <c r="A193" s="22" t="n"/>
      <c r="B193" s="38" t="n"/>
      <c r="C193" s="22" t="n"/>
    </row>
    <row r="194">
      <c r="A194" s="22" t="n"/>
      <c r="B194" s="38" t="n"/>
      <c r="C194" s="22" t="n"/>
    </row>
    <row r="195">
      <c r="A195" s="22" t="n"/>
      <c r="B195" s="38" t="n"/>
      <c r="C195" s="22" t="n"/>
    </row>
    <row r="196">
      <c r="A196" s="22" t="n"/>
      <c r="B196" s="38" t="n"/>
      <c r="C196" s="22" t="n"/>
    </row>
    <row r="197">
      <c r="A197" s="22" t="n"/>
      <c r="B197" s="38" t="n"/>
      <c r="C197" s="22" t="n"/>
    </row>
    <row r="198">
      <c r="A198" s="22" t="n"/>
      <c r="B198" s="38" t="n"/>
      <c r="C198" s="22" t="n"/>
    </row>
    <row r="199">
      <c r="A199" s="22" t="n"/>
      <c r="B199" s="38" t="n"/>
      <c r="C199" s="22" t="n"/>
    </row>
    <row r="200">
      <c r="A200" s="22" t="n"/>
      <c r="B200" s="38" t="n"/>
      <c r="C200" s="22" t="n"/>
    </row>
    <row r="201">
      <c r="A201" s="22" t="n"/>
      <c r="B201" s="38" t="n"/>
      <c r="C201" s="22" t="n"/>
    </row>
    <row r="202">
      <c r="A202" s="22" t="n"/>
      <c r="B202" s="38" t="n"/>
      <c r="C202" s="22" t="n"/>
    </row>
    <row r="203">
      <c r="A203" s="22" t="n"/>
      <c r="B203" s="38" t="n"/>
      <c r="C203" s="22" t="n"/>
    </row>
    <row r="204">
      <c r="A204" s="22" t="n"/>
      <c r="B204" s="38" t="n"/>
      <c r="C204" s="22" t="n"/>
    </row>
    <row r="205">
      <c r="A205" s="22" t="n"/>
      <c r="B205" s="38" t="n"/>
      <c r="C205" s="22" t="n"/>
    </row>
    <row r="206">
      <c r="A206" s="22" t="n"/>
      <c r="B206" s="38" t="n"/>
      <c r="C206" s="22" t="n"/>
    </row>
    <row r="207">
      <c r="A207" s="22" t="n"/>
      <c r="B207" s="38" t="n"/>
      <c r="C207" s="22" t="n"/>
    </row>
    <row r="208">
      <c r="A208" s="22" t="n"/>
      <c r="B208" s="38" t="n"/>
      <c r="C208" s="22" t="n"/>
    </row>
    <row r="209">
      <c r="A209" s="22" t="n"/>
      <c r="B209" s="38" t="n"/>
      <c r="C209" s="22" t="n"/>
    </row>
    <row r="210">
      <c r="A210" s="22" t="n"/>
      <c r="B210" s="38" t="n"/>
      <c r="C210" s="22" t="n"/>
    </row>
    <row r="211">
      <c r="A211" s="22" t="n"/>
      <c r="B211" s="38" t="n"/>
      <c r="C211" s="22" t="n"/>
    </row>
    <row r="212">
      <c r="A212" s="22" t="n"/>
      <c r="B212" s="38" t="n"/>
      <c r="C212" s="22" t="n"/>
    </row>
    <row r="213">
      <c r="A213" s="22" t="n"/>
      <c r="B213" s="38" t="n"/>
      <c r="C213" s="22" t="n"/>
    </row>
    <row r="214">
      <c r="A214" s="22" t="n"/>
      <c r="B214" s="38" t="n"/>
      <c r="C214" s="22" t="n"/>
    </row>
    <row r="215">
      <c r="A215" s="22" t="n"/>
      <c r="B215" s="38" t="n"/>
      <c r="C215" s="22" t="n"/>
    </row>
    <row r="216">
      <c r="A216" s="22" t="n"/>
      <c r="B216" s="38" t="n"/>
      <c r="C216" s="22" t="n"/>
    </row>
    <row r="217">
      <c r="A217" s="22" t="n"/>
      <c r="B217" s="38" t="n"/>
      <c r="C217" s="22" t="n"/>
    </row>
    <row r="218">
      <c r="A218" s="22" t="n"/>
      <c r="B218" s="38" t="n"/>
      <c r="C218" s="22" t="n"/>
    </row>
    <row r="219">
      <c r="A219" s="22" t="n"/>
      <c r="B219" s="38" t="n"/>
      <c r="C219" s="22" t="n"/>
    </row>
    <row r="220">
      <c r="A220" s="22" t="n"/>
      <c r="B220" s="38" t="n"/>
      <c r="C220" s="22" t="n"/>
    </row>
    <row r="221">
      <c r="A221" s="22" t="n"/>
      <c r="B221" s="38" t="n"/>
      <c r="C221" s="22" t="n"/>
    </row>
    <row r="222">
      <c r="A222" s="22" t="n"/>
      <c r="B222" s="38" t="n"/>
      <c r="C222" s="22" t="n"/>
    </row>
    <row r="223">
      <c r="A223" s="22" t="n"/>
      <c r="B223" s="38" t="n"/>
      <c r="C223" s="22" t="n"/>
    </row>
    <row r="224">
      <c r="A224" s="22" t="n"/>
      <c r="B224" s="38" t="n"/>
      <c r="C224" s="22" t="n"/>
    </row>
    <row r="225">
      <c r="A225" s="22" t="n"/>
      <c r="B225" s="38" t="n"/>
      <c r="C225" s="22" t="n"/>
    </row>
    <row r="226">
      <c r="A226" s="22" t="n"/>
      <c r="B226" s="38" t="n"/>
      <c r="C226" s="22" t="n"/>
    </row>
    <row r="227">
      <c r="A227" s="22" t="n"/>
      <c r="B227" s="38" t="n"/>
      <c r="C227" s="22" t="n"/>
    </row>
    <row r="228">
      <c r="A228" s="22" t="n"/>
      <c r="B228" s="38" t="n"/>
      <c r="C228" s="22" t="n"/>
    </row>
    <row r="229">
      <c r="A229" s="22" t="n"/>
      <c r="B229" s="38" t="n"/>
      <c r="C229" s="22" t="n"/>
    </row>
    <row r="230">
      <c r="A230" s="22" t="n"/>
      <c r="B230" s="38" t="n"/>
      <c r="C230" s="22" t="n"/>
    </row>
    <row r="231">
      <c r="A231" s="22" t="n"/>
      <c r="B231" s="38" t="n"/>
      <c r="C231" s="22" t="n"/>
    </row>
    <row r="232">
      <c r="A232" s="22" t="n"/>
      <c r="B232" s="38" t="n"/>
      <c r="C232" s="22" t="n"/>
    </row>
    <row r="233">
      <c r="A233" s="22" t="n"/>
      <c r="B233" s="38" t="n"/>
      <c r="C233" s="22" t="n"/>
    </row>
    <row r="234">
      <c r="A234" s="22" t="n"/>
      <c r="B234" s="38" t="n"/>
      <c r="C234" s="22" t="n"/>
    </row>
    <row r="235">
      <c r="A235" s="22" t="n"/>
      <c r="B235" s="38" t="n"/>
      <c r="C235" s="22" t="n"/>
    </row>
    <row r="236">
      <c r="A236" s="22" t="n"/>
      <c r="B236" s="38" t="n"/>
      <c r="C236" s="22" t="n"/>
    </row>
    <row r="237">
      <c r="A237" s="22" t="n"/>
      <c r="B237" s="38" t="n"/>
      <c r="C237" s="22" t="n"/>
    </row>
    <row r="238">
      <c r="A238" s="22" t="n"/>
      <c r="B238" s="38" t="n"/>
      <c r="C238" s="22" t="n"/>
    </row>
    <row r="239">
      <c r="A239" s="22" t="n"/>
      <c r="B239" s="38" t="n"/>
      <c r="C239" s="22" t="n"/>
    </row>
    <row r="240">
      <c r="A240" s="22" t="n"/>
      <c r="B240" s="38" t="n"/>
      <c r="C240" s="22" t="n"/>
    </row>
    <row r="241">
      <c r="A241" s="22" t="n"/>
      <c r="B241" s="38" t="n"/>
      <c r="C241" s="22" t="n"/>
    </row>
    <row r="242">
      <c r="A242" s="22" t="n"/>
      <c r="B242" s="38" t="n"/>
      <c r="C242" s="22" t="n"/>
    </row>
    <row r="243">
      <c r="A243" s="22" t="n"/>
      <c r="B243" s="38" t="n"/>
      <c r="C243" s="22" t="n"/>
    </row>
    <row r="244">
      <c r="A244" s="22" t="n"/>
      <c r="B244" s="38" t="n"/>
      <c r="C244" s="22" t="n"/>
    </row>
    <row r="245">
      <c r="A245" s="22" t="n"/>
      <c r="B245" s="38" t="n"/>
      <c r="C245" s="22" t="n"/>
    </row>
    <row r="246">
      <c r="A246" s="22" t="n"/>
      <c r="B246" s="38" t="n"/>
      <c r="C246" s="22" t="n"/>
    </row>
    <row r="247">
      <c r="A247" s="22" t="n"/>
      <c r="B247" s="38" t="n"/>
      <c r="C247" s="22" t="n"/>
    </row>
    <row r="248">
      <c r="A248" s="22" t="n"/>
      <c r="B248" s="38" t="n"/>
      <c r="C248" s="22" t="n"/>
    </row>
    <row r="249">
      <c r="A249" s="22" t="n"/>
      <c r="B249" s="38" t="n"/>
      <c r="C249" s="22" t="n"/>
    </row>
    <row r="250">
      <c r="A250" s="22" t="n"/>
      <c r="B250" s="38" t="n"/>
      <c r="C250" s="22" t="n"/>
    </row>
    <row r="251">
      <c r="A251" s="22" t="n"/>
      <c r="B251" s="38" t="n"/>
      <c r="C251" s="22" t="n"/>
    </row>
    <row r="252">
      <c r="A252" s="22" t="n"/>
      <c r="B252" s="38" t="n"/>
      <c r="C252" s="22" t="n"/>
    </row>
    <row r="253">
      <c r="A253" s="22" t="n"/>
      <c r="B253" s="38" t="n"/>
      <c r="C253" s="22" t="n"/>
    </row>
    <row r="254">
      <c r="A254" s="22" t="n"/>
      <c r="B254" s="38" t="n"/>
      <c r="C254" s="22" t="n"/>
    </row>
    <row r="255">
      <c r="A255" s="22" t="n"/>
      <c r="B255" s="38" t="n"/>
      <c r="C255" s="22" t="n"/>
    </row>
    <row r="256">
      <c r="A256" s="22" t="n"/>
      <c r="B256" s="38" t="n"/>
      <c r="C256" s="22" t="n"/>
    </row>
    <row r="257">
      <c r="A257" s="22" t="n"/>
      <c r="B257" s="38" t="n"/>
      <c r="C257" s="22" t="n"/>
    </row>
    <row r="258">
      <c r="A258" s="22" t="n"/>
      <c r="B258" s="38" t="n"/>
      <c r="C258" s="22" t="n"/>
    </row>
    <row r="259">
      <c r="A259" s="22" t="n"/>
      <c r="B259" s="38" t="n"/>
      <c r="C259" s="22" t="n"/>
    </row>
    <row r="260">
      <c r="A260" s="22" t="n"/>
      <c r="B260" s="38" t="n"/>
      <c r="C260" s="22" t="n"/>
    </row>
    <row r="261">
      <c r="A261" s="22" t="n"/>
      <c r="B261" s="38" t="n"/>
      <c r="C261" s="22" t="n"/>
    </row>
    <row r="262">
      <c r="A262" s="22" t="n"/>
      <c r="B262" s="38" t="n"/>
      <c r="C262" s="22" t="n"/>
    </row>
    <row r="263">
      <c r="A263" s="22" t="n"/>
      <c r="B263" s="38" t="n"/>
      <c r="C263" s="22" t="n"/>
    </row>
    <row r="264">
      <c r="A264" s="22" t="n"/>
      <c r="B264" s="38" t="n"/>
      <c r="C264" s="22" t="n"/>
    </row>
    <row r="265">
      <c r="A265" s="22" t="n"/>
      <c r="B265" s="38" t="n"/>
      <c r="C265" s="22" t="n"/>
    </row>
    <row r="266">
      <c r="A266" s="22" t="n"/>
      <c r="B266" s="38" t="n"/>
      <c r="C266" s="22" t="n"/>
    </row>
    <row r="267">
      <c r="A267" s="22" t="n"/>
      <c r="B267" s="38" t="n"/>
      <c r="C267" s="22" t="n"/>
    </row>
    <row r="268">
      <c r="A268" s="22" t="n"/>
      <c r="B268" s="38" t="n"/>
      <c r="C268" s="22" t="n"/>
    </row>
    <row r="269">
      <c r="A269" s="22" t="n"/>
      <c r="B269" s="38" t="n"/>
      <c r="C269" s="22" t="n"/>
    </row>
    <row r="270">
      <c r="A270" s="22" t="n"/>
      <c r="B270" s="38" t="n"/>
      <c r="C270" s="22" t="n"/>
    </row>
    <row r="271">
      <c r="A271" s="22" t="n"/>
      <c r="B271" s="38" t="n"/>
      <c r="C271" s="22" t="n"/>
    </row>
    <row r="272">
      <c r="A272" s="22" t="n"/>
      <c r="B272" s="38" t="n"/>
      <c r="C272" s="22" t="n"/>
    </row>
    <row r="273">
      <c r="A273" s="22" t="n"/>
      <c r="B273" s="38" t="n"/>
      <c r="C273" s="22" t="n"/>
    </row>
    <row r="274">
      <c r="A274" s="22" t="n"/>
      <c r="B274" s="38" t="n"/>
      <c r="C274" s="22" t="n"/>
    </row>
    <row r="275">
      <c r="A275" s="22" t="n"/>
      <c r="B275" s="38" t="n"/>
      <c r="C275" s="22" t="n"/>
    </row>
    <row r="276">
      <c r="A276" s="22" t="n"/>
      <c r="B276" s="38" t="n"/>
      <c r="C276" s="22" t="n"/>
    </row>
    <row r="277">
      <c r="A277" s="22" t="n"/>
      <c r="B277" s="38" t="n"/>
      <c r="C277" s="22" t="n"/>
    </row>
    <row r="278">
      <c r="A278" s="22" t="n"/>
      <c r="B278" s="38" t="n"/>
      <c r="C278" s="22" t="n"/>
    </row>
    <row r="279">
      <c r="A279" s="22" t="n"/>
      <c r="B279" s="38" t="n"/>
      <c r="C279" s="22" t="n"/>
    </row>
    <row r="280">
      <c r="A280" s="22" t="n"/>
      <c r="B280" s="38" t="n"/>
      <c r="C280" s="22" t="n"/>
    </row>
    <row r="281">
      <c r="A281" s="22" t="n"/>
      <c r="B281" s="38" t="n"/>
      <c r="C281" s="22" t="n"/>
    </row>
    <row r="282">
      <c r="A282" s="22" t="n"/>
      <c r="B282" s="38" t="n"/>
      <c r="C282" s="22" t="n"/>
    </row>
    <row r="283">
      <c r="A283" s="22" t="n"/>
      <c r="B283" s="38" t="n"/>
      <c r="C283" s="22" t="n"/>
    </row>
    <row r="284">
      <c r="A284" s="22" t="n"/>
      <c r="B284" s="38" t="n"/>
      <c r="C284" s="22" t="n"/>
    </row>
    <row r="285">
      <c r="A285" s="22" t="n"/>
      <c r="B285" s="38" t="n"/>
      <c r="C285" s="22" t="n"/>
    </row>
    <row r="286">
      <c r="A286" s="22" t="n"/>
      <c r="B286" s="38" t="n"/>
      <c r="C286" s="22" t="n"/>
    </row>
    <row r="287">
      <c r="A287" s="22" t="n"/>
      <c r="B287" s="38" t="n"/>
      <c r="C287" s="22" t="n"/>
    </row>
    <row r="288">
      <c r="A288" s="22" t="n"/>
      <c r="B288" s="38" t="n"/>
      <c r="C288" s="22" t="n"/>
    </row>
    <row r="289">
      <c r="A289" s="22" t="n"/>
      <c r="B289" s="38" t="n"/>
      <c r="C289" s="22" t="n"/>
    </row>
    <row r="290">
      <c r="A290" s="22" t="n"/>
      <c r="B290" s="38" t="n"/>
      <c r="C290" s="22" t="n"/>
    </row>
    <row r="291">
      <c r="A291" s="22" t="n"/>
      <c r="B291" s="38" t="n"/>
      <c r="C291" s="22" t="n"/>
    </row>
    <row r="292">
      <c r="A292" s="22" t="n"/>
      <c r="B292" s="38" t="n"/>
      <c r="C292" s="22" t="n"/>
    </row>
    <row r="293">
      <c r="A293" s="22" t="n"/>
      <c r="B293" s="38" t="n"/>
      <c r="C293" s="22" t="n"/>
    </row>
    <row r="294">
      <c r="A294" s="22" t="n"/>
      <c r="B294" s="38" t="n"/>
      <c r="C294" s="22" t="n"/>
    </row>
    <row r="295">
      <c r="A295" s="22" t="n"/>
      <c r="B295" s="38" t="n"/>
      <c r="C295" s="22" t="n"/>
    </row>
    <row r="296">
      <c r="A296" s="22" t="n"/>
      <c r="B296" s="38" t="n"/>
      <c r="C296" s="22" t="n"/>
    </row>
    <row r="297">
      <c r="A297" s="22" t="n"/>
      <c r="B297" s="38" t="n"/>
      <c r="C297" s="22" t="n"/>
    </row>
    <row r="298">
      <c r="A298" s="22" t="n"/>
      <c r="B298" s="38" t="n"/>
      <c r="C298" s="22" t="n"/>
    </row>
    <row r="299">
      <c r="A299" s="22" t="n"/>
      <c r="B299" s="38" t="n"/>
      <c r="C299" s="22" t="n"/>
    </row>
    <row r="300">
      <c r="A300" s="22" t="n"/>
      <c r="B300" s="38" t="n"/>
      <c r="C300" s="22" t="n"/>
    </row>
    <row r="301">
      <c r="A301" s="22" t="n"/>
      <c r="B301" s="38" t="n"/>
      <c r="C301" s="22" t="n"/>
    </row>
    <row r="302">
      <c r="A302" s="22" t="n"/>
      <c r="B302" s="38" t="n"/>
      <c r="C302" s="22" t="n"/>
    </row>
    <row r="303">
      <c r="A303" s="22" t="n"/>
      <c r="B303" s="38" t="n"/>
      <c r="C303" s="22" t="n"/>
    </row>
    <row r="304">
      <c r="A304" s="22" t="n"/>
      <c r="B304" s="38" t="n"/>
      <c r="C304" s="22" t="n"/>
    </row>
    <row r="305">
      <c r="A305" s="22" t="n"/>
      <c r="B305" s="38" t="n"/>
      <c r="C305" s="22" t="n"/>
    </row>
    <row r="306">
      <c r="A306" s="22" t="n"/>
      <c r="B306" s="38" t="n"/>
      <c r="C306" s="22" t="n"/>
    </row>
    <row r="307">
      <c r="A307" s="22" t="n"/>
      <c r="B307" s="38" t="n"/>
      <c r="C307" s="22" t="n"/>
    </row>
    <row r="308">
      <c r="A308" s="22" t="n"/>
      <c r="B308" s="38" t="n"/>
      <c r="C308" s="22" t="n"/>
    </row>
    <row r="309">
      <c r="A309" s="22" t="n"/>
      <c r="B309" s="38" t="n"/>
      <c r="C309" s="22" t="n"/>
    </row>
    <row r="310">
      <c r="A310" s="22" t="n"/>
      <c r="B310" s="38" t="n"/>
      <c r="C310" s="22" t="n"/>
    </row>
    <row r="311">
      <c r="A311" s="22" t="n"/>
      <c r="B311" s="38" t="n"/>
      <c r="C311" s="22" t="n"/>
    </row>
    <row r="312">
      <c r="A312" s="22" t="n"/>
      <c r="B312" s="38" t="n"/>
      <c r="C312" s="22" t="n"/>
    </row>
    <row r="313">
      <c r="A313" s="22" t="n"/>
      <c r="B313" s="38" t="n"/>
      <c r="C313" s="22" t="n"/>
    </row>
    <row r="314">
      <c r="A314" s="22" t="n"/>
      <c r="B314" s="38" t="n"/>
      <c r="C314" s="22" t="n"/>
    </row>
    <row r="315">
      <c r="A315" s="22" t="n"/>
      <c r="B315" s="38" t="n"/>
      <c r="C315" s="22" t="n"/>
    </row>
    <row r="316">
      <c r="A316" s="22" t="n"/>
      <c r="B316" s="38" t="n"/>
      <c r="C316" s="22" t="n"/>
    </row>
    <row r="317">
      <c r="A317" s="22" t="n"/>
      <c r="B317" s="38" t="n"/>
      <c r="C317" s="22" t="n"/>
    </row>
    <row r="318">
      <c r="A318" s="22" t="n"/>
      <c r="B318" s="38" t="n"/>
      <c r="C318" s="22" t="n"/>
    </row>
    <row r="319">
      <c r="A319" s="22" t="n"/>
      <c r="B319" s="38" t="n"/>
      <c r="C319" s="22" t="n"/>
    </row>
    <row r="320">
      <c r="A320" s="22" t="n"/>
      <c r="B320" s="38" t="n"/>
      <c r="C320" s="22" t="n"/>
    </row>
    <row r="321">
      <c r="A321" s="22" t="n"/>
      <c r="B321" s="38" t="n"/>
      <c r="C321" s="22" t="n"/>
    </row>
    <row r="322">
      <c r="A322" s="22" t="n"/>
      <c r="B322" s="38" t="n"/>
      <c r="C322" s="22" t="n"/>
    </row>
    <row r="323">
      <c r="A323" s="22" t="n"/>
      <c r="B323" s="38" t="n"/>
      <c r="C323" s="22" t="n"/>
    </row>
    <row r="324">
      <c r="A324" s="22" t="n"/>
      <c r="B324" s="38" t="n"/>
      <c r="C324" s="22" t="n"/>
    </row>
    <row r="325">
      <c r="A325" s="22" t="n"/>
      <c r="B325" s="38" t="n"/>
      <c r="C325" s="22" t="n"/>
    </row>
    <row r="326">
      <c r="A326" s="22" t="n"/>
      <c r="B326" s="38" t="n"/>
      <c r="C326" s="22" t="n"/>
    </row>
    <row r="327">
      <c r="A327" s="22" t="n"/>
      <c r="B327" s="38" t="n"/>
      <c r="C327" s="22" t="n"/>
    </row>
    <row r="328">
      <c r="A328" s="22" t="n"/>
      <c r="B328" s="38" t="n"/>
      <c r="C328" s="22" t="n"/>
    </row>
    <row r="329">
      <c r="A329" s="22" t="n"/>
      <c r="B329" s="38" t="n"/>
      <c r="C329" s="22" t="n"/>
    </row>
    <row r="330">
      <c r="A330" s="22" t="n"/>
      <c r="B330" s="38" t="n"/>
      <c r="C330" s="22" t="n"/>
    </row>
    <row r="331">
      <c r="A331" s="22" t="n"/>
      <c r="B331" s="38" t="n"/>
      <c r="C331" s="22" t="n"/>
    </row>
    <row r="332">
      <c r="A332" s="22" t="n"/>
      <c r="B332" s="38" t="n"/>
      <c r="C332" s="22" t="n"/>
    </row>
    <row r="333">
      <c r="A333" s="22" t="n"/>
      <c r="B333" s="38" t="n"/>
      <c r="C333" s="22" t="n"/>
    </row>
    <row r="334">
      <c r="A334" s="22" t="n"/>
      <c r="B334" s="38" t="n"/>
      <c r="C334" s="22" t="n"/>
    </row>
    <row r="335">
      <c r="A335" s="22" t="n"/>
      <c r="B335" s="38" t="n"/>
      <c r="C335" s="22" t="n"/>
    </row>
    <row r="336">
      <c r="A336" s="22" t="n"/>
      <c r="B336" s="38" t="n"/>
      <c r="C336" s="22" t="n"/>
    </row>
    <row r="337">
      <c r="A337" s="22" t="n"/>
      <c r="B337" s="38" t="n"/>
      <c r="C337" s="22" t="n"/>
    </row>
    <row r="338">
      <c r="A338" s="22" t="n"/>
      <c r="B338" s="38" t="n"/>
      <c r="C338" s="22" t="n"/>
    </row>
    <row r="339">
      <c r="A339" s="22" t="n"/>
      <c r="B339" s="38" t="n"/>
      <c r="C339" s="22" t="n"/>
    </row>
    <row r="340">
      <c r="A340" s="22" t="n"/>
      <c r="B340" s="38" t="n"/>
      <c r="C340" s="22" t="n"/>
    </row>
    <row r="341">
      <c r="A341" s="22" t="n"/>
      <c r="B341" s="38" t="n"/>
      <c r="C341" s="22" t="n"/>
    </row>
    <row r="342">
      <c r="A342" s="22" t="n"/>
      <c r="B342" s="38" t="n"/>
      <c r="C342" s="22" t="n"/>
    </row>
    <row r="343">
      <c r="A343" s="22" t="n"/>
      <c r="B343" s="38" t="n"/>
      <c r="C343" s="22" t="n"/>
    </row>
    <row r="344">
      <c r="A344" s="22" t="n"/>
      <c r="B344" s="38" t="n"/>
      <c r="C344" s="22" t="n"/>
    </row>
    <row r="345">
      <c r="A345" s="22" t="n"/>
      <c r="B345" s="38" t="n"/>
      <c r="C345" s="22" t="n"/>
    </row>
    <row r="346">
      <c r="A346" s="22" t="n"/>
      <c r="B346" s="38" t="n"/>
      <c r="C346" s="22" t="n"/>
    </row>
    <row r="347">
      <c r="A347" s="22" t="n"/>
      <c r="B347" s="38" t="n"/>
      <c r="C347" s="22" t="n"/>
    </row>
    <row r="348">
      <c r="A348" s="22" t="n"/>
      <c r="B348" s="38" t="n"/>
      <c r="C348" s="22" t="n"/>
    </row>
    <row r="349">
      <c r="A349" s="22" t="n"/>
      <c r="B349" s="38" t="n"/>
      <c r="C349" s="22" t="n"/>
    </row>
    <row r="350">
      <c r="A350" s="22" t="n"/>
      <c r="B350" s="38" t="n"/>
      <c r="C350" s="22" t="n"/>
    </row>
    <row r="351">
      <c r="A351" s="22" t="n"/>
      <c r="B351" s="38" t="n"/>
      <c r="C351" s="22" t="n"/>
    </row>
    <row r="352">
      <c r="A352" s="22" t="n"/>
      <c r="B352" s="38" t="n"/>
      <c r="C352" s="22" t="n"/>
    </row>
    <row r="353">
      <c r="A353" s="22" t="n"/>
      <c r="B353" s="38" t="n"/>
      <c r="C353" s="22" t="n"/>
    </row>
    <row r="354">
      <c r="A354" s="22" t="n"/>
      <c r="B354" s="38" t="n"/>
      <c r="C354" s="22" t="n"/>
    </row>
    <row r="355">
      <c r="A355" s="22" t="n"/>
      <c r="B355" s="38" t="n"/>
      <c r="C355" s="22" t="n"/>
    </row>
    <row r="356">
      <c r="A356" s="22" t="n"/>
      <c r="B356" s="38" t="n"/>
      <c r="C356" s="22" t="n"/>
    </row>
    <row r="357">
      <c r="A357" s="22" t="n"/>
      <c r="B357" s="38" t="n"/>
      <c r="C357" s="22" t="n"/>
    </row>
    <row r="358">
      <c r="A358" s="22" t="n"/>
      <c r="B358" s="38" t="n"/>
      <c r="C358" s="22" t="n"/>
    </row>
    <row r="359">
      <c r="A359" s="22" t="n"/>
      <c r="B359" s="38" t="n"/>
      <c r="C359" s="22" t="n"/>
    </row>
    <row r="360">
      <c r="A360" s="22" t="n"/>
      <c r="B360" s="38" t="n"/>
      <c r="C360" s="22" t="n"/>
    </row>
    <row r="361">
      <c r="A361" s="22" t="n"/>
      <c r="B361" s="38" t="n"/>
      <c r="C361" s="22" t="n"/>
    </row>
    <row r="362">
      <c r="A362" s="22" t="n"/>
      <c r="B362" s="38" t="n"/>
      <c r="C362" s="22" t="n"/>
    </row>
    <row r="363">
      <c r="A363" s="22" t="n"/>
      <c r="B363" s="38" t="n"/>
      <c r="C363" s="22" t="n"/>
    </row>
    <row r="364">
      <c r="A364" s="22" t="n"/>
      <c r="B364" s="38" t="n"/>
      <c r="C364" s="22" t="n"/>
    </row>
    <row r="365">
      <c r="A365" s="22" t="n"/>
      <c r="B365" s="38" t="n"/>
      <c r="C365" s="22" t="n"/>
    </row>
    <row r="366">
      <c r="A366" s="22" t="n"/>
      <c r="B366" s="38" t="n"/>
      <c r="C366" s="22" t="n"/>
    </row>
    <row r="367">
      <c r="A367" s="22" t="n"/>
      <c r="B367" s="38" t="n"/>
      <c r="C367" s="22" t="n"/>
    </row>
    <row r="368">
      <c r="A368" s="22" t="n"/>
      <c r="B368" s="38" t="n"/>
      <c r="C368" s="22" t="n"/>
    </row>
    <row r="369">
      <c r="A369" s="22" t="n"/>
      <c r="B369" s="38" t="n"/>
      <c r="C369" s="22" t="n"/>
    </row>
    <row r="370">
      <c r="A370" s="22" t="n"/>
      <c r="B370" s="38" t="n"/>
      <c r="C370" s="22" t="n"/>
    </row>
    <row r="371">
      <c r="A371" s="22" t="n"/>
      <c r="B371" s="38" t="n"/>
      <c r="C371" s="22" t="n"/>
    </row>
    <row r="372">
      <c r="A372" s="22" t="n"/>
      <c r="B372" s="38" t="n"/>
      <c r="C372" s="22" t="n"/>
    </row>
    <row r="373">
      <c r="A373" s="22" t="n"/>
      <c r="B373" s="38" t="n"/>
      <c r="C373" s="22" t="n"/>
    </row>
    <row r="374">
      <c r="A374" s="22" t="n"/>
      <c r="B374" s="38" t="n"/>
      <c r="C374" s="22" t="n"/>
    </row>
    <row r="375">
      <c r="A375" s="22" t="n"/>
      <c r="B375" s="38" t="n"/>
      <c r="C375" s="22" t="n"/>
    </row>
    <row r="376">
      <c r="A376" s="22" t="n"/>
      <c r="B376" s="38" t="n"/>
      <c r="C376" s="22" t="n"/>
    </row>
    <row r="377">
      <c r="A377" s="22" t="n"/>
      <c r="B377" s="38" t="n"/>
      <c r="C377" s="22" t="n"/>
    </row>
    <row r="378">
      <c r="A378" s="22" t="n"/>
      <c r="B378" s="38" t="n"/>
      <c r="C378" s="22" t="n"/>
    </row>
    <row r="379">
      <c r="A379" s="22" t="n"/>
      <c r="B379" s="38" t="n"/>
      <c r="C379" s="22" t="n"/>
    </row>
    <row r="380">
      <c r="A380" s="22" t="n"/>
      <c r="B380" s="38" t="n"/>
      <c r="C380" s="22" t="n"/>
    </row>
    <row r="381">
      <c r="A381" s="22" t="n"/>
      <c r="B381" s="38" t="n"/>
      <c r="C381" s="22" t="n"/>
    </row>
    <row r="382">
      <c r="A382" s="22" t="n"/>
      <c r="B382" s="38" t="n"/>
      <c r="C382" s="22" t="n"/>
    </row>
    <row r="383">
      <c r="A383" s="22" t="n"/>
      <c r="B383" s="38" t="n"/>
      <c r="C383" s="22" t="n"/>
    </row>
    <row r="384">
      <c r="A384" s="22" t="n"/>
      <c r="B384" s="38" t="n"/>
      <c r="C384" s="22" t="n"/>
    </row>
    <row r="385">
      <c r="A385" s="22" t="n"/>
      <c r="B385" s="38" t="n"/>
      <c r="C385" s="22" t="n"/>
    </row>
    <row r="386">
      <c r="A386" s="22" t="n"/>
      <c r="B386" s="38" t="n"/>
      <c r="C386" s="22" t="n"/>
    </row>
    <row r="387">
      <c r="A387" s="22" t="n"/>
      <c r="B387" s="38" t="n"/>
      <c r="C387" s="22" t="n"/>
    </row>
    <row r="388">
      <c r="A388" s="22" t="n"/>
      <c r="B388" s="38" t="n"/>
      <c r="C388" s="22" t="n"/>
    </row>
    <row r="389">
      <c r="A389" s="22" t="n"/>
      <c r="B389" s="38" t="n"/>
      <c r="C389" s="22" t="n"/>
    </row>
    <row r="390">
      <c r="A390" s="22" t="n"/>
      <c r="B390" s="38" t="n"/>
      <c r="C390" s="22" t="n"/>
    </row>
    <row r="391">
      <c r="A391" s="22" t="n"/>
      <c r="B391" s="38" t="n"/>
      <c r="C391" s="22" t="n"/>
    </row>
    <row r="392">
      <c r="A392" s="22" t="n"/>
      <c r="B392" s="38" t="n"/>
      <c r="C392" s="22" t="n"/>
    </row>
    <row r="393">
      <c r="A393" s="22" t="n"/>
      <c r="B393" s="38" t="n"/>
      <c r="C393" s="22" t="n"/>
    </row>
    <row r="394">
      <c r="A394" s="22" t="n"/>
      <c r="B394" s="38" t="n"/>
      <c r="C394" s="22" t="n"/>
    </row>
    <row r="395">
      <c r="A395" s="22" t="n"/>
      <c r="B395" s="38" t="n"/>
      <c r="C395" s="22" t="n"/>
    </row>
    <row r="396">
      <c r="A396" s="22" t="n"/>
      <c r="B396" s="38" t="n"/>
      <c r="C396" s="22" t="n"/>
    </row>
    <row r="397">
      <c r="A397" s="22" t="n"/>
      <c r="B397" s="38" t="n"/>
      <c r="C397" s="22" t="n"/>
    </row>
    <row r="398">
      <c r="A398" s="22" t="n"/>
      <c r="B398" s="38" t="n"/>
      <c r="C398" s="22" t="n"/>
    </row>
    <row r="399">
      <c r="A399" s="22" t="n"/>
      <c r="B399" s="38" t="n"/>
      <c r="C399" s="22" t="n"/>
    </row>
    <row r="400">
      <c r="A400" s="22" t="n"/>
      <c r="B400" s="38" t="n"/>
      <c r="C400" s="22" t="n"/>
    </row>
    <row r="401">
      <c r="A401" s="22" t="n"/>
      <c r="B401" s="38" t="n"/>
      <c r="C401" s="22" t="n"/>
    </row>
    <row r="402">
      <c r="A402" s="22" t="n"/>
      <c r="B402" s="38" t="n"/>
      <c r="C402" s="22" t="n"/>
    </row>
    <row r="403">
      <c r="A403" s="22" t="n"/>
      <c r="B403" s="38" t="n"/>
      <c r="C403" s="22" t="n"/>
    </row>
    <row r="404">
      <c r="A404" s="22" t="n"/>
      <c r="B404" s="38" t="n"/>
      <c r="C404" s="22" t="n"/>
    </row>
    <row r="405">
      <c r="A405" s="22" t="n"/>
      <c r="B405" s="38" t="n"/>
      <c r="C405" s="22" t="n"/>
    </row>
    <row r="406">
      <c r="A406" s="22" t="n"/>
      <c r="B406" s="38" t="n"/>
      <c r="C406" s="22" t="n"/>
    </row>
    <row r="407">
      <c r="A407" s="22" t="n"/>
      <c r="B407" s="38" t="n"/>
      <c r="C407" s="22" t="n"/>
    </row>
    <row r="408">
      <c r="A408" s="22" t="n"/>
      <c r="B408" s="38" t="n"/>
      <c r="C408" s="22" t="n"/>
    </row>
    <row r="409">
      <c r="A409" s="22" t="n"/>
      <c r="B409" s="38" t="n"/>
      <c r="C409" s="22" t="n"/>
    </row>
    <row r="410">
      <c r="A410" s="22" t="n"/>
      <c r="B410" s="38" t="n"/>
      <c r="C410" s="22" t="n"/>
    </row>
    <row r="411">
      <c r="A411" s="22" t="n"/>
      <c r="B411" s="38" t="n"/>
      <c r="C411" s="22" t="n"/>
    </row>
    <row r="412">
      <c r="A412" s="22" t="n"/>
      <c r="B412" s="38" t="n"/>
      <c r="C412" s="22" t="n"/>
    </row>
    <row r="413">
      <c r="A413" s="22" t="n"/>
      <c r="B413" s="38" t="n"/>
      <c r="C413" s="22" t="n"/>
    </row>
    <row r="414">
      <c r="A414" s="22" t="n"/>
      <c r="B414" s="38" t="n"/>
      <c r="C414" s="22" t="n"/>
    </row>
    <row r="415">
      <c r="A415" s="22" t="n"/>
      <c r="B415" s="38" t="n"/>
      <c r="C415" s="22" t="n"/>
    </row>
    <row r="416">
      <c r="A416" s="22" t="n"/>
      <c r="B416" s="38" t="n"/>
      <c r="C416" s="22" t="n"/>
    </row>
    <row r="417">
      <c r="A417" s="22" t="n"/>
      <c r="B417" s="38" t="n"/>
      <c r="C417" s="22" t="n"/>
    </row>
    <row r="418">
      <c r="A418" s="22" t="n"/>
      <c r="B418" s="38" t="n"/>
      <c r="C418" s="22" t="n"/>
    </row>
    <row r="419">
      <c r="A419" s="22" t="n"/>
      <c r="B419" s="38" t="n"/>
      <c r="C419" s="22" t="n"/>
    </row>
    <row r="420">
      <c r="A420" s="22" t="n"/>
      <c r="B420" s="38" t="n"/>
      <c r="C420" s="22" t="n"/>
    </row>
    <row r="421">
      <c r="A421" s="22" t="n"/>
      <c r="B421" s="38" t="n"/>
      <c r="C421" s="22" t="n"/>
    </row>
    <row r="422">
      <c r="A422" s="22" t="n"/>
      <c r="B422" s="38" t="n"/>
      <c r="C422" s="22" t="n"/>
    </row>
    <row r="423">
      <c r="A423" s="22" t="n"/>
      <c r="B423" s="38" t="n"/>
      <c r="C423" s="22" t="n"/>
    </row>
    <row r="424">
      <c r="A424" s="22" t="n"/>
      <c r="B424" s="38" t="n"/>
      <c r="C424" s="22" t="n"/>
    </row>
    <row r="425">
      <c r="A425" s="22" t="n"/>
      <c r="B425" s="38" t="n"/>
      <c r="C425" s="22" t="n"/>
    </row>
    <row r="426">
      <c r="A426" s="22" t="n"/>
      <c r="B426" s="38" t="n"/>
      <c r="C426" s="22" t="n"/>
    </row>
    <row r="427">
      <c r="A427" s="22" t="n"/>
      <c r="B427" s="38" t="n"/>
      <c r="C427" s="22" t="n"/>
    </row>
    <row r="428">
      <c r="A428" s="22" t="n"/>
      <c r="B428" s="38" t="n"/>
      <c r="C428" s="22" t="n"/>
    </row>
    <row r="429">
      <c r="A429" s="22" t="n"/>
      <c r="B429" s="38" t="n"/>
      <c r="C429" s="22" t="n"/>
    </row>
    <row r="430">
      <c r="A430" s="22" t="n"/>
      <c r="B430" s="38" t="n"/>
      <c r="C430" s="22" t="n"/>
    </row>
    <row r="431">
      <c r="A431" s="22" t="n"/>
      <c r="B431" s="38" t="n"/>
      <c r="C431" s="22" t="n"/>
    </row>
    <row r="432">
      <c r="A432" s="22" t="n"/>
      <c r="B432" s="38" t="n"/>
      <c r="C432" s="22" t="n"/>
    </row>
    <row r="433">
      <c r="A433" s="22" t="n"/>
      <c r="B433" s="38" t="n"/>
      <c r="C433" s="22" t="n"/>
    </row>
    <row r="434">
      <c r="A434" s="22" t="n"/>
      <c r="B434" s="38" t="n"/>
      <c r="C434" s="22" t="n"/>
    </row>
    <row r="435">
      <c r="A435" s="22" t="n"/>
      <c r="B435" s="38" t="n"/>
      <c r="C435" s="22" t="n"/>
    </row>
    <row r="436">
      <c r="A436" s="22" t="n"/>
      <c r="B436" s="38" t="n"/>
      <c r="C436" s="22" t="n"/>
    </row>
    <row r="437">
      <c r="A437" s="22" t="n"/>
      <c r="B437" s="38" t="n"/>
      <c r="C437" s="22" t="n"/>
    </row>
    <row r="438">
      <c r="A438" s="22" t="n"/>
      <c r="B438" s="38" t="n"/>
      <c r="C438" s="22" t="n"/>
    </row>
    <row r="439">
      <c r="A439" s="22" t="n"/>
      <c r="B439" s="38" t="n"/>
      <c r="C439" s="22" t="n"/>
    </row>
    <row r="440">
      <c r="A440" s="22" t="n"/>
      <c r="B440" s="38" t="n"/>
      <c r="C440" s="22" t="n"/>
    </row>
    <row r="441">
      <c r="A441" s="22" t="n"/>
      <c r="B441" s="38" t="n"/>
      <c r="C441" s="22" t="n"/>
    </row>
    <row r="442">
      <c r="A442" s="22" t="n"/>
      <c r="B442" s="38" t="n"/>
      <c r="C442" s="22" t="n"/>
    </row>
    <row r="443">
      <c r="A443" s="22" t="n"/>
      <c r="B443" s="38" t="n"/>
      <c r="C443" s="22" t="n"/>
    </row>
    <row r="444">
      <c r="A444" s="22" t="n"/>
      <c r="B444" s="38" t="n"/>
      <c r="C444" s="22" t="n"/>
    </row>
    <row r="445">
      <c r="A445" s="22" t="n"/>
      <c r="B445" s="38" t="n"/>
      <c r="C445" s="22" t="n"/>
    </row>
    <row r="446">
      <c r="A446" s="22" t="n"/>
      <c r="B446" s="38" t="n"/>
      <c r="C446" s="22" t="n"/>
    </row>
    <row r="447">
      <c r="A447" s="22" t="n"/>
      <c r="B447" s="38" t="n"/>
      <c r="C447" s="22" t="n"/>
    </row>
    <row r="448">
      <c r="A448" s="22" t="n"/>
      <c r="B448" s="38" t="n"/>
      <c r="C448" s="22" t="n"/>
    </row>
    <row r="449">
      <c r="A449" s="22" t="n"/>
      <c r="B449" s="38" t="n"/>
      <c r="C449" s="22" t="n"/>
    </row>
    <row r="450">
      <c r="A450" s="22" t="n"/>
      <c r="B450" s="38" t="n"/>
      <c r="C450" s="22" t="n"/>
    </row>
    <row r="451">
      <c r="A451" s="22" t="n"/>
      <c r="B451" s="38" t="n"/>
      <c r="C451" s="22" t="n"/>
    </row>
    <row r="452">
      <c r="A452" s="22" t="n"/>
      <c r="B452" s="38" t="n"/>
      <c r="C452" s="22" t="n"/>
    </row>
    <row r="453">
      <c r="A453" s="22" t="n"/>
      <c r="B453" s="38" t="n"/>
      <c r="C453" s="22" t="n"/>
    </row>
    <row r="454">
      <c r="A454" s="22" t="n"/>
      <c r="B454" s="38" t="n"/>
      <c r="C454" s="22" t="n"/>
    </row>
    <row r="455">
      <c r="A455" s="22" t="n"/>
      <c r="B455" s="38" t="n"/>
      <c r="C455" s="22" t="n"/>
    </row>
    <row r="456">
      <c r="A456" s="22" t="n"/>
      <c r="B456" s="38" t="n"/>
      <c r="C456" s="22" t="n"/>
    </row>
    <row r="457">
      <c r="A457" s="22" t="n"/>
      <c r="B457" s="38" t="n"/>
      <c r="C457" s="22" t="n"/>
    </row>
    <row r="458">
      <c r="A458" s="22" t="n"/>
      <c r="B458" s="38" t="n"/>
      <c r="C458" s="22" t="n"/>
    </row>
    <row r="459">
      <c r="A459" s="22" t="n"/>
      <c r="B459" s="38" t="n"/>
      <c r="C459" s="22" t="n"/>
    </row>
    <row r="460">
      <c r="A460" s="22" t="n"/>
      <c r="B460" s="38" t="n"/>
      <c r="C460" s="22" t="n"/>
    </row>
    <row r="461">
      <c r="A461" s="22" t="n"/>
      <c r="B461" s="38" t="n"/>
      <c r="C461" s="22" t="n"/>
    </row>
    <row r="462">
      <c r="A462" s="22" t="n"/>
      <c r="B462" s="38" t="n"/>
      <c r="C462" s="22" t="n"/>
    </row>
    <row r="463">
      <c r="A463" s="22" t="n"/>
      <c r="B463" s="38" t="n"/>
      <c r="C463" s="22" t="n"/>
    </row>
    <row r="464">
      <c r="A464" s="22" t="n"/>
      <c r="B464" s="38" t="n"/>
      <c r="C464" s="22" t="n"/>
    </row>
    <row r="465">
      <c r="A465" s="22" t="n"/>
      <c r="B465" s="38" t="n"/>
      <c r="C465" s="22" t="n"/>
    </row>
    <row r="466">
      <c r="A466" s="22" t="n"/>
      <c r="B466" s="38" t="n"/>
      <c r="C466" s="22" t="n"/>
    </row>
    <row r="467">
      <c r="A467" s="22" t="n"/>
      <c r="B467" s="38" t="n"/>
      <c r="C467" s="22" t="n"/>
    </row>
    <row r="468">
      <c r="A468" s="22" t="n"/>
      <c r="B468" s="38" t="n"/>
      <c r="C468" s="22" t="n"/>
    </row>
    <row r="469">
      <c r="A469" s="22" t="n"/>
      <c r="B469" s="38" t="n"/>
      <c r="C469" s="22" t="n"/>
    </row>
    <row r="470">
      <c r="A470" s="22" t="n"/>
      <c r="B470" s="38" t="n"/>
      <c r="C470" s="22" t="n"/>
    </row>
    <row r="471">
      <c r="A471" s="22" t="n"/>
      <c r="B471" s="38" t="n"/>
      <c r="C471" s="22" t="n"/>
    </row>
    <row r="472">
      <c r="A472" s="22" t="n"/>
      <c r="B472" s="38" t="n"/>
      <c r="C472" s="22" t="n"/>
    </row>
    <row r="473">
      <c r="A473" s="22" t="n"/>
      <c r="B473" s="38" t="n"/>
      <c r="C473" s="22" t="n"/>
    </row>
    <row r="474">
      <c r="A474" s="22" t="n"/>
      <c r="B474" s="38" t="n"/>
      <c r="C474" s="22" t="n"/>
    </row>
    <row r="475">
      <c r="A475" s="22" t="n"/>
      <c r="B475" s="38" t="n"/>
      <c r="C475" s="22" t="n"/>
    </row>
    <row r="476">
      <c r="A476" s="22" t="n"/>
      <c r="B476" s="38" t="n"/>
      <c r="C476" s="22" t="n"/>
    </row>
    <row r="477">
      <c r="A477" s="22" t="n"/>
      <c r="B477" s="38" t="n"/>
      <c r="C477" s="22" t="n"/>
    </row>
    <row r="478">
      <c r="A478" s="22" t="n"/>
      <c r="B478" s="38" t="n"/>
      <c r="C478" s="22" t="n"/>
    </row>
    <row r="479">
      <c r="A479" s="22" t="n"/>
      <c r="B479" s="38" t="n"/>
      <c r="C479" s="22" t="n"/>
    </row>
    <row r="480">
      <c r="A480" s="22" t="n"/>
      <c r="B480" s="38" t="n"/>
      <c r="C480" s="22" t="n"/>
    </row>
    <row r="481">
      <c r="A481" s="22" t="n"/>
      <c r="B481" s="38" t="n"/>
      <c r="C481" s="22" t="n"/>
    </row>
    <row r="482">
      <c r="A482" s="22" t="n"/>
      <c r="B482" s="38" t="n"/>
      <c r="C482" s="22" t="n"/>
    </row>
    <row r="483">
      <c r="A483" s="22" t="n"/>
      <c r="B483" s="38" t="n"/>
      <c r="C483" s="22" t="n"/>
    </row>
    <row r="484">
      <c r="A484" s="22" t="n"/>
      <c r="B484" s="38" t="n"/>
      <c r="C484" s="22" t="n"/>
    </row>
    <row r="485">
      <c r="A485" s="22" t="n"/>
      <c r="B485" s="38" t="n"/>
      <c r="C485" s="22" t="n"/>
    </row>
    <row r="486">
      <c r="A486" s="22" t="n"/>
      <c r="B486" s="38" t="n"/>
      <c r="C486" s="22" t="n"/>
    </row>
    <row r="487">
      <c r="A487" s="22" t="n"/>
      <c r="B487" s="38" t="n"/>
      <c r="C487" s="22" t="n"/>
    </row>
    <row r="488">
      <c r="A488" s="22" t="n"/>
      <c r="B488" s="38" t="n"/>
      <c r="C488" s="22" t="n"/>
    </row>
    <row r="489">
      <c r="A489" s="22" t="n"/>
      <c r="B489" s="38" t="n"/>
      <c r="C489" s="22" t="n"/>
    </row>
    <row r="490">
      <c r="A490" s="22" t="n"/>
      <c r="B490" s="38" t="n"/>
      <c r="C490" s="22" t="n"/>
    </row>
    <row r="491">
      <c r="A491" s="22" t="n"/>
      <c r="B491" s="38" t="n"/>
      <c r="C491" s="22" t="n"/>
    </row>
    <row r="492">
      <c r="A492" s="22" t="n"/>
      <c r="B492" s="38" t="n"/>
      <c r="C492" s="22" t="n"/>
    </row>
    <row r="493">
      <c r="A493" s="22" t="n"/>
      <c r="B493" s="38" t="n"/>
      <c r="C493" s="22" t="n"/>
    </row>
    <row r="494">
      <c r="A494" s="22" t="n"/>
      <c r="B494" s="38" t="n"/>
      <c r="C494" s="22" t="n"/>
    </row>
    <row r="495">
      <c r="A495" s="22" t="n"/>
      <c r="B495" s="38" t="n"/>
      <c r="C495" s="22" t="n"/>
    </row>
    <row r="496">
      <c r="A496" s="22" t="n"/>
      <c r="B496" s="38" t="n"/>
      <c r="C496" s="22" t="n"/>
    </row>
    <row r="497">
      <c r="A497" s="22" t="n"/>
      <c r="B497" s="38" t="n"/>
      <c r="C497" s="22" t="n"/>
    </row>
    <row r="498">
      <c r="A498" s="22" t="n"/>
      <c r="B498" s="38" t="n"/>
      <c r="C498" s="22" t="n"/>
    </row>
    <row r="499">
      <c r="A499" s="22" t="n"/>
      <c r="B499" s="38" t="n"/>
      <c r="C499" s="22" t="n"/>
    </row>
    <row r="500">
      <c r="A500" s="22" t="n"/>
      <c r="B500" s="38" t="n"/>
      <c r="C500" s="22" t="n"/>
    </row>
    <row r="501">
      <c r="A501" s="22" t="n"/>
      <c r="B501" s="38" t="n"/>
      <c r="C501" s="22" t="n"/>
    </row>
    <row r="502">
      <c r="A502" s="22" t="n"/>
      <c r="B502" s="38" t="n"/>
      <c r="C502" s="22" t="n"/>
    </row>
    <row r="503">
      <c r="A503" s="22" t="n"/>
      <c r="B503" s="38" t="n"/>
      <c r="C503" s="22" t="n"/>
    </row>
    <row r="504">
      <c r="A504" s="22" t="n"/>
      <c r="B504" s="38" t="n"/>
      <c r="C504" s="22" t="n"/>
    </row>
  </sheetData>
  <mergeCells count="2">
    <mergeCell ref="A1:D1"/>
    <mergeCell ref="A2:D2"/>
  </mergeCells>
  <dataValidations count="2">
    <dataValidation sqref="A5:A504" showDropDown="0" showInputMessage="0" showErrorMessage="0" allowBlank="1" errorTitle="姓名" error="請選擇設定區中的員工姓名" type="list">
      <formula1>=EmpNames</formula1>
    </dataValidation>
    <dataValidation sqref="C5:C504" showDropDown="0" showInputMessage="0" showErrorMessage="0" allowBlank="1" type="list">
      <formula1>"AL,SL"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9" max="9"/>
  </cols>
  <sheetData>
    <row r="1">
      <c r="A1" s="1" t="inlineStr">
        <is>
          <t>本月排班日曆（純檢視｜請勿在此輸入）</t>
        </is>
      </c>
    </row>
    <row r="2">
      <c r="A2" t="inlineStr">
        <is>
          <t>目前月份</t>
        </is>
      </c>
      <c r="B2" s="39">
        <f>TEXT(TODAY(),"YYYY年M月")</f>
        <v/>
      </c>
      <c r="C2" s="30" t="inlineStr">
        <is>
          <t>← 隨 TODAY() 自動切換；請假異動請到「請假登記」</t>
        </is>
      </c>
    </row>
    <row r="3">
      <c r="A3" t="inlineStr">
        <is>
          <t>本月1日</t>
        </is>
      </c>
      <c r="B3" s="40">
        <f>DATE(YEAR(TODAY()),MONTH(TODAY()),1)</f>
        <v/>
      </c>
      <c r="C3" t="inlineStr">
        <is>
          <t>月曆起始週一</t>
        </is>
      </c>
      <c r="D3" s="40">
        <f>B3-WEEKDAY(B3,2)+1</f>
        <v/>
      </c>
    </row>
    <row r="5">
      <c r="A5" s="18" t="inlineStr">
        <is>
          <t>星期一</t>
        </is>
      </c>
      <c r="B5" s="18" t="inlineStr">
        <is>
          <t>星期二</t>
        </is>
      </c>
      <c r="C5" s="18" t="inlineStr">
        <is>
          <t>星期三</t>
        </is>
      </c>
      <c r="D5" s="18" t="inlineStr">
        <is>
          <t>星期四</t>
        </is>
      </c>
      <c r="E5" s="18" t="inlineStr">
        <is>
          <t>星期五</t>
        </is>
      </c>
      <c r="F5" s="18" t="inlineStr">
        <is>
          <t>星期六</t>
        </is>
      </c>
      <c r="G5" s="18" t="inlineStr">
        <is>
          <t>星期日</t>
        </is>
      </c>
    </row>
    <row r="6">
      <c r="A6" s="41">
        <f>IF(OR(MONTH($D$3+0*7+0)&lt;&gt;MONTH($B$3),YEAR($D$3+0*7+0)&lt;&gt;YEAR($B$3)),"",$D$3+0*7+0)</f>
        <v/>
      </c>
      <c r="B6" s="41">
        <f>IF(OR(MONTH($D$3+0*7+1)&lt;&gt;MONTH($B$3),YEAR($D$3+0*7+1)&lt;&gt;YEAR($B$3)),"",$D$3+0*7+1)</f>
        <v/>
      </c>
      <c r="C6" s="41">
        <f>IF(OR(MONTH($D$3+0*7+2)&lt;&gt;MONTH($B$3),YEAR($D$3+0*7+2)&lt;&gt;YEAR($B$3)),"",$D$3+0*7+2)</f>
        <v/>
      </c>
      <c r="D6" s="41">
        <f>IF(OR(MONTH($D$3+0*7+3)&lt;&gt;MONTH($B$3),YEAR($D$3+0*7+3)&lt;&gt;YEAR($B$3)),"",$D$3+0*7+3)</f>
        <v/>
      </c>
      <c r="E6" s="41">
        <f>IF(OR(MONTH($D$3+0*7+4)&lt;&gt;MONTH($B$3),YEAR($D$3+0*7+4)&lt;&gt;YEAR($B$3)),"",$D$3+0*7+4)</f>
        <v/>
      </c>
      <c r="F6" s="41">
        <f>IF(OR(MONTH($D$3+0*7+5)&lt;&gt;MONTH($B$3),YEAR($D$3+0*7+5)&lt;&gt;YEAR($B$3)),"",$D$3+0*7+5)</f>
        <v/>
      </c>
      <c r="G6" s="41">
        <f>IF(OR(MONTH($D$3+0*7+6)&lt;&gt;MONTH($B$3),YEAR($D$3+0*7+6)&lt;&gt;YEAR($B$3)),"",$D$3+0*7+6)</f>
        <v/>
      </c>
      <c r="I6" s="42" t="inlineStr">
        <is>
          <t>日期</t>
        </is>
      </c>
    </row>
    <row r="7">
      <c r="A7" s="43">
        <f>IF(A6="","",IFERROR(INDEX(HolidayNames,MATCH($D$3+0*7+0,HolidayDates,0)),""))</f>
        <v/>
      </c>
      <c r="B7" s="43">
        <f>IF(B6="","",IFERROR(INDEX(HolidayNames,MATCH($D$3+0*7+1,HolidayDates,0)),""))</f>
        <v/>
      </c>
      <c r="C7" s="43">
        <f>IF(C6="","",IFERROR(INDEX(HolidayNames,MATCH($D$3+0*7+2,HolidayDates,0)),""))</f>
        <v/>
      </c>
      <c r="D7" s="43">
        <f>IF(D6="","",IFERROR(INDEX(HolidayNames,MATCH($D$3+0*7+3,HolidayDates,0)),""))</f>
        <v/>
      </c>
      <c r="E7" s="43">
        <f>IF(E6="","",IFERROR(INDEX(HolidayNames,MATCH($D$3+0*7+4,HolidayDates,0)),""))</f>
        <v/>
      </c>
      <c r="F7" s="43">
        <f>IF(F6="","",IFERROR(INDEX(HolidayNames,MATCH($D$3+0*7+5,HolidayDates,0)),""))</f>
        <v/>
      </c>
      <c r="G7" s="43">
        <f>IF(G6="","",IFERROR(INDEX(HolidayNames,MATCH($D$3+0*7+6,HolidayDates,0)),""))</f>
        <v/>
      </c>
      <c r="I7" s="42" t="inlineStr">
        <is>
          <t>公眾假期</t>
        </is>
      </c>
    </row>
    <row r="8">
      <c r="A8" s="44">
        <f>IF(OR(A6="",'設定'!$B$8=""),"",IF(COUNTIFS(LeaveName,'設定'!$B$8,LeaveDate,"="&amp;($D$3+0*7+0),LeaveType,"AL")&gt;0,"AL",IF(COUNTIFS(LeaveName,'設定'!$B$8,LeaveDate,"="&amp;($D$3+0*7+0),LeaveType,"SL")&gt;0,"SL",IF('設定'!$B$8="","",IF('設定'!$C$8="S","S",IF('設定'!$C$8="R",IF(MOD(INT((($D$3+0*7+0-WEEKDAY($D$3+0*7+0,2)+1)-'設定'!$B$4)/7)+IF('設定'!$D$8="",0,'設定'!$D$8),16)&lt;4,"A",IF(MOD(INT((($D$3+0*7+0-WEEKDAY($D$3+0*7+0,2)+1)-'設定'!$B$4)/7)+IF('設定'!$D$8="",0,'設定'!$D$8),16)&lt;8,"P",IF(MOD(INT((($D$3+0*7+0-WEEKDAY($D$3+0*7+0,2)+1)-'設定'!$B$4)/7)+IF('設定'!$D$8="",0,'設定'!$D$8),16)&lt;12,"N","P"))),""))))))</f>
        <v/>
      </c>
      <c r="B8" s="44">
        <f>IF(OR(B6="",'設定'!$B$8=""),"",IF(COUNTIFS(LeaveName,'設定'!$B$8,LeaveDate,"="&amp;($D$3+0*7+1),LeaveType,"AL")&gt;0,"AL",IF(COUNTIFS(LeaveName,'設定'!$B$8,LeaveDate,"="&amp;($D$3+0*7+1),LeaveType,"SL")&gt;0,"SL",IF('設定'!$B$8="","",IF('設定'!$C$8="S","S",IF('設定'!$C$8="R",IF(MOD(INT((($D$3+0*7+1-WEEKDAY($D$3+0*7+1,2)+1)-'設定'!$B$4)/7)+IF('設定'!$D$8="",0,'設定'!$D$8),16)&lt;4,"A",IF(MOD(INT((($D$3+0*7+1-WEEKDAY($D$3+0*7+1,2)+1)-'設定'!$B$4)/7)+IF('設定'!$D$8="",0,'設定'!$D$8),16)&lt;8,"P",IF(MOD(INT((($D$3+0*7+1-WEEKDAY($D$3+0*7+1,2)+1)-'設定'!$B$4)/7)+IF('設定'!$D$8="",0,'設定'!$D$8),16)&lt;12,"N","P"))),""))))))</f>
        <v/>
      </c>
      <c r="C8" s="44">
        <f>IF(OR(C6="",'設定'!$B$8=""),"",IF(COUNTIFS(LeaveName,'設定'!$B$8,LeaveDate,"="&amp;($D$3+0*7+2),LeaveType,"AL")&gt;0,"AL",IF(COUNTIFS(LeaveName,'設定'!$B$8,LeaveDate,"="&amp;($D$3+0*7+2),LeaveType,"SL")&gt;0,"SL",IF('設定'!$B$8="","",IF('設定'!$C$8="S","S",IF('設定'!$C$8="R",IF(MOD(INT((($D$3+0*7+2-WEEKDAY($D$3+0*7+2,2)+1)-'設定'!$B$4)/7)+IF('設定'!$D$8="",0,'設定'!$D$8),16)&lt;4,"A",IF(MOD(INT((($D$3+0*7+2-WEEKDAY($D$3+0*7+2,2)+1)-'設定'!$B$4)/7)+IF('設定'!$D$8="",0,'設定'!$D$8),16)&lt;8,"P",IF(MOD(INT((($D$3+0*7+2-WEEKDAY($D$3+0*7+2,2)+1)-'設定'!$B$4)/7)+IF('設定'!$D$8="",0,'設定'!$D$8),16)&lt;12,"N","P"))),""))))))</f>
        <v/>
      </c>
      <c r="D8" s="44">
        <f>IF(OR(D6="",'設定'!$B$8=""),"",IF(COUNTIFS(LeaveName,'設定'!$B$8,LeaveDate,"="&amp;($D$3+0*7+3),LeaveType,"AL")&gt;0,"AL",IF(COUNTIFS(LeaveName,'設定'!$B$8,LeaveDate,"="&amp;($D$3+0*7+3),LeaveType,"SL")&gt;0,"SL",IF('設定'!$B$8="","",IF('設定'!$C$8="S","S",IF('設定'!$C$8="R",IF(MOD(INT((($D$3+0*7+3-WEEKDAY($D$3+0*7+3,2)+1)-'設定'!$B$4)/7)+IF('設定'!$D$8="",0,'設定'!$D$8),16)&lt;4,"A",IF(MOD(INT((($D$3+0*7+3-WEEKDAY($D$3+0*7+3,2)+1)-'設定'!$B$4)/7)+IF('設定'!$D$8="",0,'設定'!$D$8),16)&lt;8,"P",IF(MOD(INT((($D$3+0*7+3-WEEKDAY($D$3+0*7+3,2)+1)-'設定'!$B$4)/7)+IF('設定'!$D$8="",0,'設定'!$D$8),16)&lt;12,"N","P"))),""))))))</f>
        <v/>
      </c>
      <c r="E8" s="44">
        <f>IF(OR(E6="",'設定'!$B$8=""),"",IF(COUNTIFS(LeaveName,'設定'!$B$8,LeaveDate,"="&amp;($D$3+0*7+4),LeaveType,"AL")&gt;0,"AL",IF(COUNTIFS(LeaveName,'設定'!$B$8,LeaveDate,"="&amp;($D$3+0*7+4),LeaveType,"SL")&gt;0,"SL",IF('設定'!$B$8="","",IF('設定'!$C$8="S","S",IF('設定'!$C$8="R",IF(MOD(INT((($D$3+0*7+4-WEEKDAY($D$3+0*7+4,2)+1)-'設定'!$B$4)/7)+IF('設定'!$D$8="",0,'設定'!$D$8),16)&lt;4,"A",IF(MOD(INT((($D$3+0*7+4-WEEKDAY($D$3+0*7+4,2)+1)-'設定'!$B$4)/7)+IF('設定'!$D$8="",0,'設定'!$D$8),16)&lt;8,"P",IF(MOD(INT((($D$3+0*7+4-WEEKDAY($D$3+0*7+4,2)+1)-'設定'!$B$4)/7)+IF('設定'!$D$8="",0,'設定'!$D$8),16)&lt;12,"N","P"))),""))))))</f>
        <v/>
      </c>
      <c r="F8" s="44">
        <f>IF(OR(F6="",'設定'!$B$8=""),"",IF(COUNTIFS(LeaveName,'設定'!$B$8,LeaveDate,"="&amp;($D$3+0*7+5),LeaveType,"AL")&gt;0,"AL",IF(COUNTIFS(LeaveName,'設定'!$B$8,LeaveDate,"="&amp;($D$3+0*7+5),LeaveType,"SL")&gt;0,"SL",IF('設定'!$B$8="","",IF('設定'!$C$8="S","S",IF('設定'!$C$8="R",IF(MOD(INT((($D$3+0*7+5-WEEKDAY($D$3+0*7+5,2)+1)-'設定'!$B$4)/7)+IF('設定'!$D$8="",0,'設定'!$D$8),16)&lt;4,"A",IF(MOD(INT((($D$3+0*7+5-WEEKDAY($D$3+0*7+5,2)+1)-'設定'!$B$4)/7)+IF('設定'!$D$8="",0,'設定'!$D$8),16)&lt;8,"P",IF(MOD(INT((($D$3+0*7+5-WEEKDAY($D$3+0*7+5,2)+1)-'設定'!$B$4)/7)+IF('設定'!$D$8="",0,'設定'!$D$8),16)&lt;12,"N","P"))),""))))))</f>
        <v/>
      </c>
      <c r="G8" s="44">
        <f>IF(OR(G6="",'設定'!$B$8=""),"",IF(COUNTIFS(LeaveName,'設定'!$B$8,LeaveDate,"="&amp;($D$3+0*7+6),LeaveType,"AL")&gt;0,"AL",IF(COUNTIFS(LeaveName,'設定'!$B$8,LeaveDate,"="&amp;($D$3+0*7+6),LeaveType,"SL")&gt;0,"SL",IF('設定'!$B$8="","",IF('設定'!$C$8="S","S",IF('設定'!$C$8="R",IF(MOD(INT((($D$3+0*7+6-WEEKDAY($D$3+0*7+6,2)+1)-'設定'!$B$4)/7)+IF('設定'!$D$8="",0,'設定'!$D$8),16)&lt;4,"A",IF(MOD(INT((($D$3+0*7+6-WEEKDAY($D$3+0*7+6,2)+1)-'設定'!$B$4)/7)+IF('設定'!$D$8="",0,'設定'!$D$8),16)&lt;8,"P",IF(MOD(INT((($D$3+0*7+6-WEEKDAY($D$3+0*7+6,2)+1)-'設定'!$B$4)/7)+IF('設定'!$D$8="",0,'設定'!$D$8),16)&lt;12,"N","P"))),""))))))</f>
        <v/>
      </c>
      <c r="I8" s="45">
        <f>'設定'!B8</f>
        <v/>
      </c>
    </row>
    <row r="9">
      <c r="A9" s="44">
        <f>IF(OR(A6="",'設定'!$B$9=""),"",IF(COUNTIFS(LeaveName,'設定'!$B$9,LeaveDate,"="&amp;($D$3+0*7+0),LeaveType,"AL")&gt;0,"AL",IF(COUNTIFS(LeaveName,'設定'!$B$9,LeaveDate,"="&amp;($D$3+0*7+0),LeaveType,"SL")&gt;0,"SL",IF('設定'!$B$9="","",IF('設定'!$C$9="S","S",IF('設定'!$C$9="R",IF(MOD(INT((($D$3+0*7+0-WEEKDAY($D$3+0*7+0,2)+1)-'設定'!$B$4)/7)+IF('設定'!$D$9="",0,'設定'!$D$9),16)&lt;4,"A",IF(MOD(INT((($D$3+0*7+0-WEEKDAY($D$3+0*7+0,2)+1)-'設定'!$B$4)/7)+IF('設定'!$D$9="",0,'設定'!$D$9),16)&lt;8,"P",IF(MOD(INT((($D$3+0*7+0-WEEKDAY($D$3+0*7+0,2)+1)-'設定'!$B$4)/7)+IF('設定'!$D$9="",0,'設定'!$D$9),16)&lt;12,"N","P"))),""))))))</f>
        <v/>
      </c>
      <c r="B9" s="44">
        <f>IF(OR(B6="",'設定'!$B$9=""),"",IF(COUNTIFS(LeaveName,'設定'!$B$9,LeaveDate,"="&amp;($D$3+0*7+1),LeaveType,"AL")&gt;0,"AL",IF(COUNTIFS(LeaveName,'設定'!$B$9,LeaveDate,"="&amp;($D$3+0*7+1),LeaveType,"SL")&gt;0,"SL",IF('設定'!$B$9="","",IF('設定'!$C$9="S","S",IF('設定'!$C$9="R",IF(MOD(INT((($D$3+0*7+1-WEEKDAY($D$3+0*7+1,2)+1)-'設定'!$B$4)/7)+IF('設定'!$D$9="",0,'設定'!$D$9),16)&lt;4,"A",IF(MOD(INT((($D$3+0*7+1-WEEKDAY($D$3+0*7+1,2)+1)-'設定'!$B$4)/7)+IF('設定'!$D$9="",0,'設定'!$D$9),16)&lt;8,"P",IF(MOD(INT((($D$3+0*7+1-WEEKDAY($D$3+0*7+1,2)+1)-'設定'!$B$4)/7)+IF('設定'!$D$9="",0,'設定'!$D$9),16)&lt;12,"N","P"))),""))))))</f>
        <v/>
      </c>
      <c r="C9" s="44">
        <f>IF(OR(C6="",'設定'!$B$9=""),"",IF(COUNTIFS(LeaveName,'設定'!$B$9,LeaveDate,"="&amp;($D$3+0*7+2),LeaveType,"AL")&gt;0,"AL",IF(COUNTIFS(LeaveName,'設定'!$B$9,LeaveDate,"="&amp;($D$3+0*7+2),LeaveType,"SL")&gt;0,"SL",IF('設定'!$B$9="","",IF('設定'!$C$9="S","S",IF('設定'!$C$9="R",IF(MOD(INT((($D$3+0*7+2-WEEKDAY($D$3+0*7+2,2)+1)-'設定'!$B$4)/7)+IF('設定'!$D$9="",0,'設定'!$D$9),16)&lt;4,"A",IF(MOD(INT((($D$3+0*7+2-WEEKDAY($D$3+0*7+2,2)+1)-'設定'!$B$4)/7)+IF('設定'!$D$9="",0,'設定'!$D$9),16)&lt;8,"P",IF(MOD(INT((($D$3+0*7+2-WEEKDAY($D$3+0*7+2,2)+1)-'設定'!$B$4)/7)+IF('設定'!$D$9="",0,'設定'!$D$9),16)&lt;12,"N","P"))),""))))))</f>
        <v/>
      </c>
      <c r="D9" s="44">
        <f>IF(OR(D6="",'設定'!$B$9=""),"",IF(COUNTIFS(LeaveName,'設定'!$B$9,LeaveDate,"="&amp;($D$3+0*7+3),LeaveType,"AL")&gt;0,"AL",IF(COUNTIFS(LeaveName,'設定'!$B$9,LeaveDate,"="&amp;($D$3+0*7+3),LeaveType,"SL")&gt;0,"SL",IF('設定'!$B$9="","",IF('設定'!$C$9="S","S",IF('設定'!$C$9="R",IF(MOD(INT((($D$3+0*7+3-WEEKDAY($D$3+0*7+3,2)+1)-'設定'!$B$4)/7)+IF('設定'!$D$9="",0,'設定'!$D$9),16)&lt;4,"A",IF(MOD(INT((($D$3+0*7+3-WEEKDAY($D$3+0*7+3,2)+1)-'設定'!$B$4)/7)+IF('設定'!$D$9="",0,'設定'!$D$9),16)&lt;8,"P",IF(MOD(INT((($D$3+0*7+3-WEEKDAY($D$3+0*7+3,2)+1)-'設定'!$B$4)/7)+IF('設定'!$D$9="",0,'設定'!$D$9),16)&lt;12,"N","P"))),""))))))</f>
        <v/>
      </c>
      <c r="E9" s="44">
        <f>IF(OR(E6="",'設定'!$B$9=""),"",IF(COUNTIFS(LeaveName,'設定'!$B$9,LeaveDate,"="&amp;($D$3+0*7+4),LeaveType,"AL")&gt;0,"AL",IF(COUNTIFS(LeaveName,'設定'!$B$9,LeaveDate,"="&amp;($D$3+0*7+4),LeaveType,"SL")&gt;0,"SL",IF('設定'!$B$9="","",IF('設定'!$C$9="S","S",IF('設定'!$C$9="R",IF(MOD(INT((($D$3+0*7+4-WEEKDAY($D$3+0*7+4,2)+1)-'設定'!$B$4)/7)+IF('設定'!$D$9="",0,'設定'!$D$9),16)&lt;4,"A",IF(MOD(INT((($D$3+0*7+4-WEEKDAY($D$3+0*7+4,2)+1)-'設定'!$B$4)/7)+IF('設定'!$D$9="",0,'設定'!$D$9),16)&lt;8,"P",IF(MOD(INT((($D$3+0*7+4-WEEKDAY($D$3+0*7+4,2)+1)-'設定'!$B$4)/7)+IF('設定'!$D$9="",0,'設定'!$D$9),16)&lt;12,"N","P"))),""))))))</f>
        <v/>
      </c>
      <c r="F9" s="44">
        <f>IF(OR(F6="",'設定'!$B$9=""),"",IF(COUNTIFS(LeaveName,'設定'!$B$9,LeaveDate,"="&amp;($D$3+0*7+5),LeaveType,"AL")&gt;0,"AL",IF(COUNTIFS(LeaveName,'設定'!$B$9,LeaveDate,"="&amp;($D$3+0*7+5),LeaveType,"SL")&gt;0,"SL",IF('設定'!$B$9="","",IF('設定'!$C$9="S","S",IF('設定'!$C$9="R",IF(MOD(INT((($D$3+0*7+5-WEEKDAY($D$3+0*7+5,2)+1)-'設定'!$B$4)/7)+IF('設定'!$D$9="",0,'設定'!$D$9),16)&lt;4,"A",IF(MOD(INT((($D$3+0*7+5-WEEKDAY($D$3+0*7+5,2)+1)-'設定'!$B$4)/7)+IF('設定'!$D$9="",0,'設定'!$D$9),16)&lt;8,"P",IF(MOD(INT((($D$3+0*7+5-WEEKDAY($D$3+0*7+5,2)+1)-'設定'!$B$4)/7)+IF('設定'!$D$9="",0,'設定'!$D$9),16)&lt;12,"N","P"))),""))))))</f>
        <v/>
      </c>
      <c r="G9" s="44">
        <f>IF(OR(G6="",'設定'!$B$9=""),"",IF(COUNTIFS(LeaveName,'設定'!$B$9,LeaveDate,"="&amp;($D$3+0*7+6),LeaveType,"AL")&gt;0,"AL",IF(COUNTIFS(LeaveName,'設定'!$B$9,LeaveDate,"="&amp;($D$3+0*7+6),LeaveType,"SL")&gt;0,"SL",IF('設定'!$B$9="","",IF('設定'!$C$9="S","S",IF('設定'!$C$9="R",IF(MOD(INT((($D$3+0*7+6-WEEKDAY($D$3+0*7+6,2)+1)-'設定'!$B$4)/7)+IF('設定'!$D$9="",0,'設定'!$D$9),16)&lt;4,"A",IF(MOD(INT((($D$3+0*7+6-WEEKDAY($D$3+0*7+6,2)+1)-'設定'!$B$4)/7)+IF('設定'!$D$9="",0,'設定'!$D$9),16)&lt;8,"P",IF(MOD(INT((($D$3+0*7+6-WEEKDAY($D$3+0*7+6,2)+1)-'設定'!$B$4)/7)+IF('設定'!$D$9="",0,'設定'!$D$9),16)&lt;12,"N","P"))),""))))))</f>
        <v/>
      </c>
      <c r="I9" s="45">
        <f>'設定'!B9</f>
        <v/>
      </c>
    </row>
    <row r="10">
      <c r="A10" s="44">
        <f>IF(OR(A6="",'設定'!$B$10=""),"",IF(COUNTIFS(LeaveName,'設定'!$B$10,LeaveDate,"="&amp;($D$3+0*7+0),LeaveType,"AL")&gt;0,"AL",IF(COUNTIFS(LeaveName,'設定'!$B$10,LeaveDate,"="&amp;($D$3+0*7+0),LeaveType,"SL")&gt;0,"SL",IF('設定'!$B$10="","",IF('設定'!$C$10="S","S",IF('設定'!$C$10="R",IF(MOD(INT((($D$3+0*7+0-WEEKDAY($D$3+0*7+0,2)+1)-'設定'!$B$4)/7)+IF('設定'!$D$10="",0,'設定'!$D$10),16)&lt;4,"A",IF(MOD(INT((($D$3+0*7+0-WEEKDAY($D$3+0*7+0,2)+1)-'設定'!$B$4)/7)+IF('設定'!$D$10="",0,'設定'!$D$10),16)&lt;8,"P",IF(MOD(INT((($D$3+0*7+0-WEEKDAY($D$3+0*7+0,2)+1)-'設定'!$B$4)/7)+IF('設定'!$D$10="",0,'設定'!$D$10),16)&lt;12,"N","P"))),""))))))</f>
        <v/>
      </c>
      <c r="B10" s="44">
        <f>IF(OR(B6="",'設定'!$B$10=""),"",IF(COUNTIFS(LeaveName,'設定'!$B$10,LeaveDate,"="&amp;($D$3+0*7+1),LeaveType,"AL")&gt;0,"AL",IF(COUNTIFS(LeaveName,'設定'!$B$10,LeaveDate,"="&amp;($D$3+0*7+1),LeaveType,"SL")&gt;0,"SL",IF('設定'!$B$10="","",IF('設定'!$C$10="S","S",IF('設定'!$C$10="R",IF(MOD(INT((($D$3+0*7+1-WEEKDAY($D$3+0*7+1,2)+1)-'設定'!$B$4)/7)+IF('設定'!$D$10="",0,'設定'!$D$10),16)&lt;4,"A",IF(MOD(INT((($D$3+0*7+1-WEEKDAY($D$3+0*7+1,2)+1)-'設定'!$B$4)/7)+IF('設定'!$D$10="",0,'設定'!$D$10),16)&lt;8,"P",IF(MOD(INT((($D$3+0*7+1-WEEKDAY($D$3+0*7+1,2)+1)-'設定'!$B$4)/7)+IF('設定'!$D$10="",0,'設定'!$D$10),16)&lt;12,"N","P"))),""))))))</f>
        <v/>
      </c>
      <c r="C10" s="44">
        <f>IF(OR(C6="",'設定'!$B$10=""),"",IF(COUNTIFS(LeaveName,'設定'!$B$10,LeaveDate,"="&amp;($D$3+0*7+2),LeaveType,"AL")&gt;0,"AL",IF(COUNTIFS(LeaveName,'設定'!$B$10,LeaveDate,"="&amp;($D$3+0*7+2),LeaveType,"SL")&gt;0,"SL",IF('設定'!$B$10="","",IF('設定'!$C$10="S","S",IF('設定'!$C$10="R",IF(MOD(INT((($D$3+0*7+2-WEEKDAY($D$3+0*7+2,2)+1)-'設定'!$B$4)/7)+IF('設定'!$D$10="",0,'設定'!$D$10),16)&lt;4,"A",IF(MOD(INT((($D$3+0*7+2-WEEKDAY($D$3+0*7+2,2)+1)-'設定'!$B$4)/7)+IF('設定'!$D$10="",0,'設定'!$D$10),16)&lt;8,"P",IF(MOD(INT((($D$3+0*7+2-WEEKDAY($D$3+0*7+2,2)+1)-'設定'!$B$4)/7)+IF('設定'!$D$10="",0,'設定'!$D$10),16)&lt;12,"N","P"))),""))))))</f>
        <v/>
      </c>
      <c r="D10" s="44">
        <f>IF(OR(D6="",'設定'!$B$10=""),"",IF(COUNTIFS(LeaveName,'設定'!$B$10,LeaveDate,"="&amp;($D$3+0*7+3),LeaveType,"AL")&gt;0,"AL",IF(COUNTIFS(LeaveName,'設定'!$B$10,LeaveDate,"="&amp;($D$3+0*7+3),LeaveType,"SL")&gt;0,"SL",IF('設定'!$B$10="","",IF('設定'!$C$10="S","S",IF('設定'!$C$10="R",IF(MOD(INT((($D$3+0*7+3-WEEKDAY($D$3+0*7+3,2)+1)-'設定'!$B$4)/7)+IF('設定'!$D$10="",0,'設定'!$D$10),16)&lt;4,"A",IF(MOD(INT((($D$3+0*7+3-WEEKDAY($D$3+0*7+3,2)+1)-'設定'!$B$4)/7)+IF('設定'!$D$10="",0,'設定'!$D$10),16)&lt;8,"P",IF(MOD(INT((($D$3+0*7+3-WEEKDAY($D$3+0*7+3,2)+1)-'設定'!$B$4)/7)+IF('設定'!$D$10="",0,'設定'!$D$10),16)&lt;12,"N","P"))),""))))))</f>
        <v/>
      </c>
      <c r="E10" s="44">
        <f>IF(OR(E6="",'設定'!$B$10=""),"",IF(COUNTIFS(LeaveName,'設定'!$B$10,LeaveDate,"="&amp;($D$3+0*7+4),LeaveType,"AL")&gt;0,"AL",IF(COUNTIFS(LeaveName,'設定'!$B$10,LeaveDate,"="&amp;($D$3+0*7+4),LeaveType,"SL")&gt;0,"SL",IF('設定'!$B$10="","",IF('設定'!$C$10="S","S",IF('設定'!$C$10="R",IF(MOD(INT((($D$3+0*7+4-WEEKDAY($D$3+0*7+4,2)+1)-'設定'!$B$4)/7)+IF('設定'!$D$10="",0,'設定'!$D$10),16)&lt;4,"A",IF(MOD(INT((($D$3+0*7+4-WEEKDAY($D$3+0*7+4,2)+1)-'設定'!$B$4)/7)+IF('設定'!$D$10="",0,'設定'!$D$10),16)&lt;8,"P",IF(MOD(INT((($D$3+0*7+4-WEEKDAY($D$3+0*7+4,2)+1)-'設定'!$B$4)/7)+IF('設定'!$D$10="",0,'設定'!$D$10),16)&lt;12,"N","P"))),""))))))</f>
        <v/>
      </c>
      <c r="F10" s="44">
        <f>IF(OR(F6="",'設定'!$B$10=""),"",IF(COUNTIFS(LeaveName,'設定'!$B$10,LeaveDate,"="&amp;($D$3+0*7+5),LeaveType,"AL")&gt;0,"AL",IF(COUNTIFS(LeaveName,'設定'!$B$10,LeaveDate,"="&amp;($D$3+0*7+5),LeaveType,"SL")&gt;0,"SL",IF('設定'!$B$10="","",IF('設定'!$C$10="S","S",IF('設定'!$C$10="R",IF(MOD(INT((($D$3+0*7+5-WEEKDAY($D$3+0*7+5,2)+1)-'設定'!$B$4)/7)+IF('設定'!$D$10="",0,'設定'!$D$10),16)&lt;4,"A",IF(MOD(INT((($D$3+0*7+5-WEEKDAY($D$3+0*7+5,2)+1)-'設定'!$B$4)/7)+IF('設定'!$D$10="",0,'設定'!$D$10),16)&lt;8,"P",IF(MOD(INT((($D$3+0*7+5-WEEKDAY($D$3+0*7+5,2)+1)-'設定'!$B$4)/7)+IF('設定'!$D$10="",0,'設定'!$D$10),16)&lt;12,"N","P"))),""))))))</f>
        <v/>
      </c>
      <c r="G10" s="44">
        <f>IF(OR(G6="",'設定'!$B$10=""),"",IF(COUNTIFS(LeaveName,'設定'!$B$10,LeaveDate,"="&amp;($D$3+0*7+6),LeaveType,"AL")&gt;0,"AL",IF(COUNTIFS(LeaveName,'設定'!$B$10,LeaveDate,"="&amp;($D$3+0*7+6),LeaveType,"SL")&gt;0,"SL",IF('設定'!$B$10="","",IF('設定'!$C$10="S","S",IF('設定'!$C$10="R",IF(MOD(INT((($D$3+0*7+6-WEEKDAY($D$3+0*7+6,2)+1)-'設定'!$B$4)/7)+IF('設定'!$D$10="",0,'設定'!$D$10),16)&lt;4,"A",IF(MOD(INT((($D$3+0*7+6-WEEKDAY($D$3+0*7+6,2)+1)-'設定'!$B$4)/7)+IF('設定'!$D$10="",0,'設定'!$D$10),16)&lt;8,"P",IF(MOD(INT((($D$3+0*7+6-WEEKDAY($D$3+0*7+6,2)+1)-'設定'!$B$4)/7)+IF('設定'!$D$10="",0,'設定'!$D$10),16)&lt;12,"N","P"))),""))))))</f>
        <v/>
      </c>
      <c r="I10" s="45">
        <f>'設定'!B10</f>
        <v/>
      </c>
    </row>
    <row r="11">
      <c r="A11" s="44">
        <f>IF(OR(A6="",'設定'!$B$11=""),"",IF(COUNTIFS(LeaveName,'設定'!$B$11,LeaveDate,"="&amp;($D$3+0*7+0),LeaveType,"AL")&gt;0,"AL",IF(COUNTIFS(LeaveName,'設定'!$B$11,LeaveDate,"="&amp;($D$3+0*7+0),LeaveType,"SL")&gt;0,"SL",IF('設定'!$B$11="","",IF('設定'!$C$11="S","S",IF('設定'!$C$11="R",IF(MOD(INT((($D$3+0*7+0-WEEKDAY($D$3+0*7+0,2)+1)-'設定'!$B$4)/7)+IF('設定'!$D$11="",0,'設定'!$D$11),16)&lt;4,"A",IF(MOD(INT((($D$3+0*7+0-WEEKDAY($D$3+0*7+0,2)+1)-'設定'!$B$4)/7)+IF('設定'!$D$11="",0,'設定'!$D$11),16)&lt;8,"P",IF(MOD(INT((($D$3+0*7+0-WEEKDAY($D$3+0*7+0,2)+1)-'設定'!$B$4)/7)+IF('設定'!$D$11="",0,'設定'!$D$11),16)&lt;12,"N","P"))),""))))))</f>
        <v/>
      </c>
      <c r="B11" s="44">
        <f>IF(OR(B6="",'設定'!$B$11=""),"",IF(COUNTIFS(LeaveName,'設定'!$B$11,LeaveDate,"="&amp;($D$3+0*7+1),LeaveType,"AL")&gt;0,"AL",IF(COUNTIFS(LeaveName,'設定'!$B$11,LeaveDate,"="&amp;($D$3+0*7+1),LeaveType,"SL")&gt;0,"SL",IF('設定'!$B$11="","",IF('設定'!$C$11="S","S",IF('設定'!$C$11="R",IF(MOD(INT((($D$3+0*7+1-WEEKDAY($D$3+0*7+1,2)+1)-'設定'!$B$4)/7)+IF('設定'!$D$11="",0,'設定'!$D$11),16)&lt;4,"A",IF(MOD(INT((($D$3+0*7+1-WEEKDAY($D$3+0*7+1,2)+1)-'設定'!$B$4)/7)+IF('設定'!$D$11="",0,'設定'!$D$11),16)&lt;8,"P",IF(MOD(INT((($D$3+0*7+1-WEEKDAY($D$3+0*7+1,2)+1)-'設定'!$B$4)/7)+IF('設定'!$D$11="",0,'設定'!$D$11),16)&lt;12,"N","P"))),""))))))</f>
        <v/>
      </c>
      <c r="C11" s="44">
        <f>IF(OR(C6="",'設定'!$B$11=""),"",IF(COUNTIFS(LeaveName,'設定'!$B$11,LeaveDate,"="&amp;($D$3+0*7+2),LeaveType,"AL")&gt;0,"AL",IF(COUNTIFS(LeaveName,'設定'!$B$11,LeaveDate,"="&amp;($D$3+0*7+2),LeaveType,"SL")&gt;0,"SL",IF('設定'!$B$11="","",IF('設定'!$C$11="S","S",IF('設定'!$C$11="R",IF(MOD(INT((($D$3+0*7+2-WEEKDAY($D$3+0*7+2,2)+1)-'設定'!$B$4)/7)+IF('設定'!$D$11="",0,'設定'!$D$11),16)&lt;4,"A",IF(MOD(INT((($D$3+0*7+2-WEEKDAY($D$3+0*7+2,2)+1)-'設定'!$B$4)/7)+IF('設定'!$D$11="",0,'設定'!$D$11),16)&lt;8,"P",IF(MOD(INT((($D$3+0*7+2-WEEKDAY($D$3+0*7+2,2)+1)-'設定'!$B$4)/7)+IF('設定'!$D$11="",0,'設定'!$D$11),16)&lt;12,"N","P"))),""))))))</f>
        <v/>
      </c>
      <c r="D11" s="44">
        <f>IF(OR(D6="",'設定'!$B$11=""),"",IF(COUNTIFS(LeaveName,'設定'!$B$11,LeaveDate,"="&amp;($D$3+0*7+3),LeaveType,"AL")&gt;0,"AL",IF(COUNTIFS(LeaveName,'設定'!$B$11,LeaveDate,"="&amp;($D$3+0*7+3),LeaveType,"SL")&gt;0,"SL",IF('設定'!$B$11="","",IF('設定'!$C$11="S","S",IF('設定'!$C$11="R",IF(MOD(INT((($D$3+0*7+3-WEEKDAY($D$3+0*7+3,2)+1)-'設定'!$B$4)/7)+IF('設定'!$D$11="",0,'設定'!$D$11),16)&lt;4,"A",IF(MOD(INT((($D$3+0*7+3-WEEKDAY($D$3+0*7+3,2)+1)-'設定'!$B$4)/7)+IF('設定'!$D$11="",0,'設定'!$D$11),16)&lt;8,"P",IF(MOD(INT((($D$3+0*7+3-WEEKDAY($D$3+0*7+3,2)+1)-'設定'!$B$4)/7)+IF('設定'!$D$11="",0,'設定'!$D$11),16)&lt;12,"N","P"))),""))))))</f>
        <v/>
      </c>
      <c r="E11" s="44">
        <f>IF(OR(E6="",'設定'!$B$11=""),"",IF(COUNTIFS(LeaveName,'設定'!$B$11,LeaveDate,"="&amp;($D$3+0*7+4),LeaveType,"AL")&gt;0,"AL",IF(COUNTIFS(LeaveName,'設定'!$B$11,LeaveDate,"="&amp;($D$3+0*7+4),LeaveType,"SL")&gt;0,"SL",IF('設定'!$B$11="","",IF('設定'!$C$11="S","S",IF('設定'!$C$11="R",IF(MOD(INT((($D$3+0*7+4-WEEKDAY($D$3+0*7+4,2)+1)-'設定'!$B$4)/7)+IF('設定'!$D$11="",0,'設定'!$D$11),16)&lt;4,"A",IF(MOD(INT((($D$3+0*7+4-WEEKDAY($D$3+0*7+4,2)+1)-'設定'!$B$4)/7)+IF('設定'!$D$11="",0,'設定'!$D$11),16)&lt;8,"P",IF(MOD(INT((($D$3+0*7+4-WEEKDAY($D$3+0*7+4,2)+1)-'設定'!$B$4)/7)+IF('設定'!$D$11="",0,'設定'!$D$11),16)&lt;12,"N","P"))),""))))))</f>
        <v/>
      </c>
      <c r="F11" s="44">
        <f>IF(OR(F6="",'設定'!$B$11=""),"",IF(COUNTIFS(LeaveName,'設定'!$B$11,LeaveDate,"="&amp;($D$3+0*7+5),LeaveType,"AL")&gt;0,"AL",IF(COUNTIFS(LeaveName,'設定'!$B$11,LeaveDate,"="&amp;($D$3+0*7+5),LeaveType,"SL")&gt;0,"SL",IF('設定'!$B$11="","",IF('設定'!$C$11="S","S",IF('設定'!$C$11="R",IF(MOD(INT((($D$3+0*7+5-WEEKDAY($D$3+0*7+5,2)+1)-'設定'!$B$4)/7)+IF('設定'!$D$11="",0,'設定'!$D$11),16)&lt;4,"A",IF(MOD(INT((($D$3+0*7+5-WEEKDAY($D$3+0*7+5,2)+1)-'設定'!$B$4)/7)+IF('設定'!$D$11="",0,'設定'!$D$11),16)&lt;8,"P",IF(MOD(INT((($D$3+0*7+5-WEEKDAY($D$3+0*7+5,2)+1)-'設定'!$B$4)/7)+IF('設定'!$D$11="",0,'設定'!$D$11),16)&lt;12,"N","P"))),""))))))</f>
        <v/>
      </c>
      <c r="G11" s="44">
        <f>IF(OR(G6="",'設定'!$B$11=""),"",IF(COUNTIFS(LeaveName,'設定'!$B$11,LeaveDate,"="&amp;($D$3+0*7+6),LeaveType,"AL")&gt;0,"AL",IF(COUNTIFS(LeaveName,'設定'!$B$11,LeaveDate,"="&amp;($D$3+0*7+6),LeaveType,"SL")&gt;0,"SL",IF('設定'!$B$11="","",IF('設定'!$C$11="S","S",IF('設定'!$C$11="R",IF(MOD(INT((($D$3+0*7+6-WEEKDAY($D$3+0*7+6,2)+1)-'設定'!$B$4)/7)+IF('設定'!$D$11="",0,'設定'!$D$11),16)&lt;4,"A",IF(MOD(INT((($D$3+0*7+6-WEEKDAY($D$3+0*7+6,2)+1)-'設定'!$B$4)/7)+IF('設定'!$D$11="",0,'設定'!$D$11),16)&lt;8,"P",IF(MOD(INT((($D$3+0*7+6-WEEKDAY($D$3+0*7+6,2)+1)-'設定'!$B$4)/7)+IF('設定'!$D$11="",0,'設定'!$D$11),16)&lt;12,"N","P"))),""))))))</f>
        <v/>
      </c>
      <c r="I11" s="45">
        <f>'設定'!B11</f>
        <v/>
      </c>
    </row>
    <row r="12">
      <c r="A12" s="44">
        <f>IF(OR(A6="",'設定'!$B$12=""),"",IF(COUNTIFS(LeaveName,'設定'!$B$12,LeaveDate,"="&amp;($D$3+0*7+0),LeaveType,"AL")&gt;0,"AL",IF(COUNTIFS(LeaveName,'設定'!$B$12,LeaveDate,"="&amp;($D$3+0*7+0),LeaveType,"SL")&gt;0,"SL",IF('設定'!$B$12="","",IF('設定'!$C$12="S","S",IF('設定'!$C$12="R",IF(MOD(INT((($D$3+0*7+0-WEEKDAY($D$3+0*7+0,2)+1)-'設定'!$B$4)/7)+IF('設定'!$D$12="",0,'設定'!$D$12),16)&lt;4,"A",IF(MOD(INT((($D$3+0*7+0-WEEKDAY($D$3+0*7+0,2)+1)-'設定'!$B$4)/7)+IF('設定'!$D$12="",0,'設定'!$D$12),16)&lt;8,"P",IF(MOD(INT((($D$3+0*7+0-WEEKDAY($D$3+0*7+0,2)+1)-'設定'!$B$4)/7)+IF('設定'!$D$12="",0,'設定'!$D$12),16)&lt;12,"N","P"))),""))))))</f>
        <v/>
      </c>
      <c r="B12" s="44">
        <f>IF(OR(B6="",'設定'!$B$12=""),"",IF(COUNTIFS(LeaveName,'設定'!$B$12,LeaveDate,"="&amp;($D$3+0*7+1),LeaveType,"AL")&gt;0,"AL",IF(COUNTIFS(LeaveName,'設定'!$B$12,LeaveDate,"="&amp;($D$3+0*7+1),LeaveType,"SL")&gt;0,"SL",IF('設定'!$B$12="","",IF('設定'!$C$12="S","S",IF('設定'!$C$12="R",IF(MOD(INT((($D$3+0*7+1-WEEKDAY($D$3+0*7+1,2)+1)-'設定'!$B$4)/7)+IF('設定'!$D$12="",0,'設定'!$D$12),16)&lt;4,"A",IF(MOD(INT((($D$3+0*7+1-WEEKDAY($D$3+0*7+1,2)+1)-'設定'!$B$4)/7)+IF('設定'!$D$12="",0,'設定'!$D$12),16)&lt;8,"P",IF(MOD(INT((($D$3+0*7+1-WEEKDAY($D$3+0*7+1,2)+1)-'設定'!$B$4)/7)+IF('設定'!$D$12="",0,'設定'!$D$12),16)&lt;12,"N","P"))),""))))))</f>
        <v/>
      </c>
      <c r="C12" s="44">
        <f>IF(OR(C6="",'設定'!$B$12=""),"",IF(COUNTIFS(LeaveName,'設定'!$B$12,LeaveDate,"="&amp;($D$3+0*7+2),LeaveType,"AL")&gt;0,"AL",IF(COUNTIFS(LeaveName,'設定'!$B$12,LeaveDate,"="&amp;($D$3+0*7+2),LeaveType,"SL")&gt;0,"SL",IF('設定'!$B$12="","",IF('設定'!$C$12="S","S",IF('設定'!$C$12="R",IF(MOD(INT((($D$3+0*7+2-WEEKDAY($D$3+0*7+2,2)+1)-'設定'!$B$4)/7)+IF('設定'!$D$12="",0,'設定'!$D$12),16)&lt;4,"A",IF(MOD(INT((($D$3+0*7+2-WEEKDAY($D$3+0*7+2,2)+1)-'設定'!$B$4)/7)+IF('設定'!$D$12="",0,'設定'!$D$12),16)&lt;8,"P",IF(MOD(INT((($D$3+0*7+2-WEEKDAY($D$3+0*7+2,2)+1)-'設定'!$B$4)/7)+IF('設定'!$D$12="",0,'設定'!$D$12),16)&lt;12,"N","P"))),""))))))</f>
        <v/>
      </c>
      <c r="D12" s="44">
        <f>IF(OR(D6="",'設定'!$B$12=""),"",IF(COUNTIFS(LeaveName,'設定'!$B$12,LeaveDate,"="&amp;($D$3+0*7+3),LeaveType,"AL")&gt;0,"AL",IF(COUNTIFS(LeaveName,'設定'!$B$12,LeaveDate,"="&amp;($D$3+0*7+3),LeaveType,"SL")&gt;0,"SL",IF('設定'!$B$12="","",IF('設定'!$C$12="S","S",IF('設定'!$C$12="R",IF(MOD(INT((($D$3+0*7+3-WEEKDAY($D$3+0*7+3,2)+1)-'設定'!$B$4)/7)+IF('設定'!$D$12="",0,'設定'!$D$12),16)&lt;4,"A",IF(MOD(INT((($D$3+0*7+3-WEEKDAY($D$3+0*7+3,2)+1)-'設定'!$B$4)/7)+IF('設定'!$D$12="",0,'設定'!$D$12),16)&lt;8,"P",IF(MOD(INT((($D$3+0*7+3-WEEKDAY($D$3+0*7+3,2)+1)-'設定'!$B$4)/7)+IF('設定'!$D$12="",0,'設定'!$D$12),16)&lt;12,"N","P"))),""))))))</f>
        <v/>
      </c>
      <c r="E12" s="44">
        <f>IF(OR(E6="",'設定'!$B$12=""),"",IF(COUNTIFS(LeaveName,'設定'!$B$12,LeaveDate,"="&amp;($D$3+0*7+4),LeaveType,"AL")&gt;0,"AL",IF(COUNTIFS(LeaveName,'設定'!$B$12,LeaveDate,"="&amp;($D$3+0*7+4),LeaveType,"SL")&gt;0,"SL",IF('設定'!$B$12="","",IF('設定'!$C$12="S","S",IF('設定'!$C$12="R",IF(MOD(INT((($D$3+0*7+4-WEEKDAY($D$3+0*7+4,2)+1)-'設定'!$B$4)/7)+IF('設定'!$D$12="",0,'設定'!$D$12),16)&lt;4,"A",IF(MOD(INT((($D$3+0*7+4-WEEKDAY($D$3+0*7+4,2)+1)-'設定'!$B$4)/7)+IF('設定'!$D$12="",0,'設定'!$D$12),16)&lt;8,"P",IF(MOD(INT((($D$3+0*7+4-WEEKDAY($D$3+0*7+4,2)+1)-'設定'!$B$4)/7)+IF('設定'!$D$12="",0,'設定'!$D$12),16)&lt;12,"N","P"))),""))))))</f>
        <v/>
      </c>
      <c r="F12" s="44">
        <f>IF(OR(F6="",'設定'!$B$12=""),"",IF(COUNTIFS(LeaveName,'設定'!$B$12,LeaveDate,"="&amp;($D$3+0*7+5),LeaveType,"AL")&gt;0,"AL",IF(COUNTIFS(LeaveName,'設定'!$B$12,LeaveDate,"="&amp;($D$3+0*7+5),LeaveType,"SL")&gt;0,"SL",IF('設定'!$B$12="","",IF('設定'!$C$12="S","S",IF('設定'!$C$12="R",IF(MOD(INT((($D$3+0*7+5-WEEKDAY($D$3+0*7+5,2)+1)-'設定'!$B$4)/7)+IF('設定'!$D$12="",0,'設定'!$D$12),16)&lt;4,"A",IF(MOD(INT((($D$3+0*7+5-WEEKDAY($D$3+0*7+5,2)+1)-'設定'!$B$4)/7)+IF('設定'!$D$12="",0,'設定'!$D$12),16)&lt;8,"P",IF(MOD(INT((($D$3+0*7+5-WEEKDAY($D$3+0*7+5,2)+1)-'設定'!$B$4)/7)+IF('設定'!$D$12="",0,'設定'!$D$12),16)&lt;12,"N","P"))),""))))))</f>
        <v/>
      </c>
      <c r="G12" s="44">
        <f>IF(OR(G6="",'設定'!$B$12=""),"",IF(COUNTIFS(LeaveName,'設定'!$B$12,LeaveDate,"="&amp;($D$3+0*7+6),LeaveType,"AL")&gt;0,"AL",IF(COUNTIFS(LeaveName,'設定'!$B$12,LeaveDate,"="&amp;($D$3+0*7+6),LeaveType,"SL")&gt;0,"SL",IF('設定'!$B$12="","",IF('設定'!$C$12="S","S",IF('設定'!$C$12="R",IF(MOD(INT((($D$3+0*7+6-WEEKDAY($D$3+0*7+6,2)+1)-'設定'!$B$4)/7)+IF('設定'!$D$12="",0,'設定'!$D$12),16)&lt;4,"A",IF(MOD(INT((($D$3+0*7+6-WEEKDAY($D$3+0*7+6,2)+1)-'設定'!$B$4)/7)+IF('設定'!$D$12="",0,'設定'!$D$12),16)&lt;8,"P",IF(MOD(INT((($D$3+0*7+6-WEEKDAY($D$3+0*7+6,2)+1)-'設定'!$B$4)/7)+IF('設定'!$D$12="",0,'設定'!$D$12),16)&lt;12,"N","P"))),""))))))</f>
        <v/>
      </c>
      <c r="I12" s="45">
        <f>'設定'!B12</f>
        <v/>
      </c>
    </row>
    <row r="13">
      <c r="A13" s="44">
        <f>IF(OR(A6="",'設定'!$B$13=""),"",IF(COUNTIFS(LeaveName,'設定'!$B$13,LeaveDate,"="&amp;($D$3+0*7+0),LeaveType,"AL")&gt;0,"AL",IF(COUNTIFS(LeaveName,'設定'!$B$13,LeaveDate,"="&amp;($D$3+0*7+0),LeaveType,"SL")&gt;0,"SL",IF('設定'!$B$13="","",IF('設定'!$C$13="S","S",IF('設定'!$C$13="R",IF(MOD(INT((($D$3+0*7+0-WEEKDAY($D$3+0*7+0,2)+1)-'設定'!$B$4)/7)+IF('設定'!$D$13="",0,'設定'!$D$13),16)&lt;4,"A",IF(MOD(INT((($D$3+0*7+0-WEEKDAY($D$3+0*7+0,2)+1)-'設定'!$B$4)/7)+IF('設定'!$D$13="",0,'設定'!$D$13),16)&lt;8,"P",IF(MOD(INT((($D$3+0*7+0-WEEKDAY($D$3+0*7+0,2)+1)-'設定'!$B$4)/7)+IF('設定'!$D$13="",0,'設定'!$D$13),16)&lt;12,"N","P"))),""))))))</f>
        <v/>
      </c>
      <c r="B13" s="44">
        <f>IF(OR(B6="",'設定'!$B$13=""),"",IF(COUNTIFS(LeaveName,'設定'!$B$13,LeaveDate,"="&amp;($D$3+0*7+1),LeaveType,"AL")&gt;0,"AL",IF(COUNTIFS(LeaveName,'設定'!$B$13,LeaveDate,"="&amp;($D$3+0*7+1),LeaveType,"SL")&gt;0,"SL",IF('設定'!$B$13="","",IF('設定'!$C$13="S","S",IF('設定'!$C$13="R",IF(MOD(INT((($D$3+0*7+1-WEEKDAY($D$3+0*7+1,2)+1)-'設定'!$B$4)/7)+IF('設定'!$D$13="",0,'設定'!$D$13),16)&lt;4,"A",IF(MOD(INT((($D$3+0*7+1-WEEKDAY($D$3+0*7+1,2)+1)-'設定'!$B$4)/7)+IF('設定'!$D$13="",0,'設定'!$D$13),16)&lt;8,"P",IF(MOD(INT((($D$3+0*7+1-WEEKDAY($D$3+0*7+1,2)+1)-'設定'!$B$4)/7)+IF('設定'!$D$13="",0,'設定'!$D$13),16)&lt;12,"N","P"))),""))))))</f>
        <v/>
      </c>
      <c r="C13" s="44">
        <f>IF(OR(C6="",'設定'!$B$13=""),"",IF(COUNTIFS(LeaveName,'設定'!$B$13,LeaveDate,"="&amp;($D$3+0*7+2),LeaveType,"AL")&gt;0,"AL",IF(COUNTIFS(LeaveName,'設定'!$B$13,LeaveDate,"="&amp;($D$3+0*7+2),LeaveType,"SL")&gt;0,"SL",IF('設定'!$B$13="","",IF('設定'!$C$13="S","S",IF('設定'!$C$13="R",IF(MOD(INT((($D$3+0*7+2-WEEKDAY($D$3+0*7+2,2)+1)-'設定'!$B$4)/7)+IF('設定'!$D$13="",0,'設定'!$D$13),16)&lt;4,"A",IF(MOD(INT((($D$3+0*7+2-WEEKDAY($D$3+0*7+2,2)+1)-'設定'!$B$4)/7)+IF('設定'!$D$13="",0,'設定'!$D$13),16)&lt;8,"P",IF(MOD(INT((($D$3+0*7+2-WEEKDAY($D$3+0*7+2,2)+1)-'設定'!$B$4)/7)+IF('設定'!$D$13="",0,'設定'!$D$13),16)&lt;12,"N","P"))),""))))))</f>
        <v/>
      </c>
      <c r="D13" s="44">
        <f>IF(OR(D6="",'設定'!$B$13=""),"",IF(COUNTIFS(LeaveName,'設定'!$B$13,LeaveDate,"="&amp;($D$3+0*7+3),LeaveType,"AL")&gt;0,"AL",IF(COUNTIFS(LeaveName,'設定'!$B$13,LeaveDate,"="&amp;($D$3+0*7+3),LeaveType,"SL")&gt;0,"SL",IF('設定'!$B$13="","",IF('設定'!$C$13="S","S",IF('設定'!$C$13="R",IF(MOD(INT((($D$3+0*7+3-WEEKDAY($D$3+0*7+3,2)+1)-'設定'!$B$4)/7)+IF('設定'!$D$13="",0,'設定'!$D$13),16)&lt;4,"A",IF(MOD(INT((($D$3+0*7+3-WEEKDAY($D$3+0*7+3,2)+1)-'設定'!$B$4)/7)+IF('設定'!$D$13="",0,'設定'!$D$13),16)&lt;8,"P",IF(MOD(INT((($D$3+0*7+3-WEEKDAY($D$3+0*7+3,2)+1)-'設定'!$B$4)/7)+IF('設定'!$D$13="",0,'設定'!$D$13),16)&lt;12,"N","P"))),""))))))</f>
        <v/>
      </c>
      <c r="E13" s="44">
        <f>IF(OR(E6="",'設定'!$B$13=""),"",IF(COUNTIFS(LeaveName,'設定'!$B$13,LeaveDate,"="&amp;($D$3+0*7+4),LeaveType,"AL")&gt;0,"AL",IF(COUNTIFS(LeaveName,'設定'!$B$13,LeaveDate,"="&amp;($D$3+0*7+4),LeaveType,"SL")&gt;0,"SL",IF('設定'!$B$13="","",IF('設定'!$C$13="S","S",IF('設定'!$C$13="R",IF(MOD(INT((($D$3+0*7+4-WEEKDAY($D$3+0*7+4,2)+1)-'設定'!$B$4)/7)+IF('設定'!$D$13="",0,'設定'!$D$13),16)&lt;4,"A",IF(MOD(INT((($D$3+0*7+4-WEEKDAY($D$3+0*7+4,2)+1)-'設定'!$B$4)/7)+IF('設定'!$D$13="",0,'設定'!$D$13),16)&lt;8,"P",IF(MOD(INT((($D$3+0*7+4-WEEKDAY($D$3+0*7+4,2)+1)-'設定'!$B$4)/7)+IF('設定'!$D$13="",0,'設定'!$D$13),16)&lt;12,"N","P"))),""))))))</f>
        <v/>
      </c>
      <c r="F13" s="44">
        <f>IF(OR(F6="",'設定'!$B$13=""),"",IF(COUNTIFS(LeaveName,'設定'!$B$13,LeaveDate,"="&amp;($D$3+0*7+5),LeaveType,"AL")&gt;0,"AL",IF(COUNTIFS(LeaveName,'設定'!$B$13,LeaveDate,"="&amp;($D$3+0*7+5),LeaveType,"SL")&gt;0,"SL",IF('設定'!$B$13="","",IF('設定'!$C$13="S","S",IF('設定'!$C$13="R",IF(MOD(INT((($D$3+0*7+5-WEEKDAY($D$3+0*7+5,2)+1)-'設定'!$B$4)/7)+IF('設定'!$D$13="",0,'設定'!$D$13),16)&lt;4,"A",IF(MOD(INT((($D$3+0*7+5-WEEKDAY($D$3+0*7+5,2)+1)-'設定'!$B$4)/7)+IF('設定'!$D$13="",0,'設定'!$D$13),16)&lt;8,"P",IF(MOD(INT((($D$3+0*7+5-WEEKDAY($D$3+0*7+5,2)+1)-'設定'!$B$4)/7)+IF('設定'!$D$13="",0,'設定'!$D$13),16)&lt;12,"N","P"))),""))))))</f>
        <v/>
      </c>
      <c r="G13" s="44">
        <f>IF(OR(G6="",'設定'!$B$13=""),"",IF(COUNTIFS(LeaveName,'設定'!$B$13,LeaveDate,"="&amp;($D$3+0*7+6),LeaveType,"AL")&gt;0,"AL",IF(COUNTIFS(LeaveName,'設定'!$B$13,LeaveDate,"="&amp;($D$3+0*7+6),LeaveType,"SL")&gt;0,"SL",IF('設定'!$B$13="","",IF('設定'!$C$13="S","S",IF('設定'!$C$13="R",IF(MOD(INT((($D$3+0*7+6-WEEKDAY($D$3+0*7+6,2)+1)-'設定'!$B$4)/7)+IF('設定'!$D$13="",0,'設定'!$D$13),16)&lt;4,"A",IF(MOD(INT((($D$3+0*7+6-WEEKDAY($D$3+0*7+6,2)+1)-'設定'!$B$4)/7)+IF('設定'!$D$13="",0,'設定'!$D$13),16)&lt;8,"P",IF(MOD(INT((($D$3+0*7+6-WEEKDAY($D$3+0*7+6,2)+1)-'設定'!$B$4)/7)+IF('設定'!$D$13="",0,'設定'!$D$13),16)&lt;12,"N","P"))),""))))))</f>
        <v/>
      </c>
      <c r="I13" s="45">
        <f>'設定'!B13</f>
        <v/>
      </c>
    </row>
    <row r="14">
      <c r="A14" s="41">
        <f>IF(OR(MONTH($D$3+1*7+0)&lt;&gt;MONTH($B$3),YEAR($D$3+1*7+0)&lt;&gt;YEAR($B$3)),"",$D$3+1*7+0)</f>
        <v/>
      </c>
      <c r="B14" s="41">
        <f>IF(OR(MONTH($D$3+1*7+1)&lt;&gt;MONTH($B$3),YEAR($D$3+1*7+1)&lt;&gt;YEAR($B$3)),"",$D$3+1*7+1)</f>
        <v/>
      </c>
      <c r="C14" s="41">
        <f>IF(OR(MONTH($D$3+1*7+2)&lt;&gt;MONTH($B$3),YEAR($D$3+1*7+2)&lt;&gt;YEAR($B$3)),"",$D$3+1*7+2)</f>
        <v/>
      </c>
      <c r="D14" s="41">
        <f>IF(OR(MONTH($D$3+1*7+3)&lt;&gt;MONTH($B$3),YEAR($D$3+1*7+3)&lt;&gt;YEAR($B$3)),"",$D$3+1*7+3)</f>
        <v/>
      </c>
      <c r="E14" s="41">
        <f>IF(OR(MONTH($D$3+1*7+4)&lt;&gt;MONTH($B$3),YEAR($D$3+1*7+4)&lt;&gt;YEAR($B$3)),"",$D$3+1*7+4)</f>
        <v/>
      </c>
      <c r="F14" s="41">
        <f>IF(OR(MONTH($D$3+1*7+5)&lt;&gt;MONTH($B$3),YEAR($D$3+1*7+5)&lt;&gt;YEAR($B$3)),"",$D$3+1*7+5)</f>
        <v/>
      </c>
      <c r="G14" s="41">
        <f>IF(OR(MONTH($D$3+1*7+6)&lt;&gt;MONTH($B$3),YEAR($D$3+1*7+6)&lt;&gt;YEAR($B$3)),"",$D$3+1*7+6)</f>
        <v/>
      </c>
      <c r="I14" s="42" t="inlineStr">
        <is>
          <t>日期</t>
        </is>
      </c>
    </row>
    <row r="15">
      <c r="A15" s="43">
        <f>IF(A14="","",IFERROR(INDEX(HolidayNames,MATCH($D$3+1*7+0,HolidayDates,0)),""))</f>
        <v/>
      </c>
      <c r="B15" s="43">
        <f>IF(B14="","",IFERROR(INDEX(HolidayNames,MATCH($D$3+1*7+1,HolidayDates,0)),""))</f>
        <v/>
      </c>
      <c r="C15" s="43">
        <f>IF(C14="","",IFERROR(INDEX(HolidayNames,MATCH($D$3+1*7+2,HolidayDates,0)),""))</f>
        <v/>
      </c>
      <c r="D15" s="43">
        <f>IF(D14="","",IFERROR(INDEX(HolidayNames,MATCH($D$3+1*7+3,HolidayDates,0)),""))</f>
        <v/>
      </c>
      <c r="E15" s="43">
        <f>IF(E14="","",IFERROR(INDEX(HolidayNames,MATCH($D$3+1*7+4,HolidayDates,0)),""))</f>
        <v/>
      </c>
      <c r="F15" s="43">
        <f>IF(F14="","",IFERROR(INDEX(HolidayNames,MATCH($D$3+1*7+5,HolidayDates,0)),""))</f>
        <v/>
      </c>
      <c r="G15" s="43">
        <f>IF(G14="","",IFERROR(INDEX(HolidayNames,MATCH($D$3+1*7+6,HolidayDates,0)),""))</f>
        <v/>
      </c>
      <c r="I15" s="42" t="inlineStr">
        <is>
          <t>公眾假期</t>
        </is>
      </c>
    </row>
    <row r="16">
      <c r="A16" s="44">
        <f>IF(OR(A14="",'設定'!$B$8=""),"",IF(COUNTIFS(LeaveName,'設定'!$B$8,LeaveDate,"="&amp;($D$3+1*7+0),LeaveType,"AL")&gt;0,"AL",IF(COUNTIFS(LeaveName,'設定'!$B$8,LeaveDate,"="&amp;($D$3+1*7+0),LeaveType,"SL")&gt;0,"SL",IF('設定'!$B$8="","",IF('設定'!$C$8="S","S",IF('設定'!$C$8="R",IF(MOD(INT((($D$3+1*7+0-WEEKDAY($D$3+1*7+0,2)+1)-'設定'!$B$4)/7)+IF('設定'!$D$8="",0,'設定'!$D$8),16)&lt;4,"A",IF(MOD(INT((($D$3+1*7+0-WEEKDAY($D$3+1*7+0,2)+1)-'設定'!$B$4)/7)+IF('設定'!$D$8="",0,'設定'!$D$8),16)&lt;8,"P",IF(MOD(INT((($D$3+1*7+0-WEEKDAY($D$3+1*7+0,2)+1)-'設定'!$B$4)/7)+IF('設定'!$D$8="",0,'設定'!$D$8),16)&lt;12,"N","P"))),""))))))</f>
        <v/>
      </c>
      <c r="B16" s="44">
        <f>IF(OR(B14="",'設定'!$B$8=""),"",IF(COUNTIFS(LeaveName,'設定'!$B$8,LeaveDate,"="&amp;($D$3+1*7+1),LeaveType,"AL")&gt;0,"AL",IF(COUNTIFS(LeaveName,'設定'!$B$8,LeaveDate,"="&amp;($D$3+1*7+1),LeaveType,"SL")&gt;0,"SL",IF('設定'!$B$8="","",IF('設定'!$C$8="S","S",IF('設定'!$C$8="R",IF(MOD(INT((($D$3+1*7+1-WEEKDAY($D$3+1*7+1,2)+1)-'設定'!$B$4)/7)+IF('設定'!$D$8="",0,'設定'!$D$8),16)&lt;4,"A",IF(MOD(INT((($D$3+1*7+1-WEEKDAY($D$3+1*7+1,2)+1)-'設定'!$B$4)/7)+IF('設定'!$D$8="",0,'設定'!$D$8),16)&lt;8,"P",IF(MOD(INT((($D$3+1*7+1-WEEKDAY($D$3+1*7+1,2)+1)-'設定'!$B$4)/7)+IF('設定'!$D$8="",0,'設定'!$D$8),16)&lt;12,"N","P"))),""))))))</f>
        <v/>
      </c>
      <c r="C16" s="44">
        <f>IF(OR(C14="",'設定'!$B$8=""),"",IF(COUNTIFS(LeaveName,'設定'!$B$8,LeaveDate,"="&amp;($D$3+1*7+2),LeaveType,"AL")&gt;0,"AL",IF(COUNTIFS(LeaveName,'設定'!$B$8,LeaveDate,"="&amp;($D$3+1*7+2),LeaveType,"SL")&gt;0,"SL",IF('設定'!$B$8="","",IF('設定'!$C$8="S","S",IF('設定'!$C$8="R",IF(MOD(INT((($D$3+1*7+2-WEEKDAY($D$3+1*7+2,2)+1)-'設定'!$B$4)/7)+IF('設定'!$D$8="",0,'設定'!$D$8),16)&lt;4,"A",IF(MOD(INT((($D$3+1*7+2-WEEKDAY($D$3+1*7+2,2)+1)-'設定'!$B$4)/7)+IF('設定'!$D$8="",0,'設定'!$D$8),16)&lt;8,"P",IF(MOD(INT((($D$3+1*7+2-WEEKDAY($D$3+1*7+2,2)+1)-'設定'!$B$4)/7)+IF('設定'!$D$8="",0,'設定'!$D$8),16)&lt;12,"N","P"))),""))))))</f>
        <v/>
      </c>
      <c r="D16" s="44">
        <f>IF(OR(D14="",'設定'!$B$8=""),"",IF(COUNTIFS(LeaveName,'設定'!$B$8,LeaveDate,"="&amp;($D$3+1*7+3),LeaveType,"AL")&gt;0,"AL",IF(COUNTIFS(LeaveName,'設定'!$B$8,LeaveDate,"="&amp;($D$3+1*7+3),LeaveType,"SL")&gt;0,"SL",IF('設定'!$B$8="","",IF('設定'!$C$8="S","S",IF('設定'!$C$8="R",IF(MOD(INT((($D$3+1*7+3-WEEKDAY($D$3+1*7+3,2)+1)-'設定'!$B$4)/7)+IF('設定'!$D$8="",0,'設定'!$D$8),16)&lt;4,"A",IF(MOD(INT((($D$3+1*7+3-WEEKDAY($D$3+1*7+3,2)+1)-'設定'!$B$4)/7)+IF('設定'!$D$8="",0,'設定'!$D$8),16)&lt;8,"P",IF(MOD(INT((($D$3+1*7+3-WEEKDAY($D$3+1*7+3,2)+1)-'設定'!$B$4)/7)+IF('設定'!$D$8="",0,'設定'!$D$8),16)&lt;12,"N","P"))),""))))))</f>
        <v/>
      </c>
      <c r="E16" s="44">
        <f>IF(OR(E14="",'設定'!$B$8=""),"",IF(COUNTIFS(LeaveName,'設定'!$B$8,LeaveDate,"="&amp;($D$3+1*7+4),LeaveType,"AL")&gt;0,"AL",IF(COUNTIFS(LeaveName,'設定'!$B$8,LeaveDate,"="&amp;($D$3+1*7+4),LeaveType,"SL")&gt;0,"SL",IF('設定'!$B$8="","",IF('設定'!$C$8="S","S",IF('設定'!$C$8="R",IF(MOD(INT((($D$3+1*7+4-WEEKDAY($D$3+1*7+4,2)+1)-'設定'!$B$4)/7)+IF('設定'!$D$8="",0,'設定'!$D$8),16)&lt;4,"A",IF(MOD(INT((($D$3+1*7+4-WEEKDAY($D$3+1*7+4,2)+1)-'設定'!$B$4)/7)+IF('設定'!$D$8="",0,'設定'!$D$8),16)&lt;8,"P",IF(MOD(INT((($D$3+1*7+4-WEEKDAY($D$3+1*7+4,2)+1)-'設定'!$B$4)/7)+IF('設定'!$D$8="",0,'設定'!$D$8),16)&lt;12,"N","P"))),""))))))</f>
        <v/>
      </c>
      <c r="F16" s="44">
        <f>IF(OR(F14="",'設定'!$B$8=""),"",IF(COUNTIFS(LeaveName,'設定'!$B$8,LeaveDate,"="&amp;($D$3+1*7+5),LeaveType,"AL")&gt;0,"AL",IF(COUNTIFS(LeaveName,'設定'!$B$8,LeaveDate,"="&amp;($D$3+1*7+5),LeaveType,"SL")&gt;0,"SL",IF('設定'!$B$8="","",IF('設定'!$C$8="S","S",IF('設定'!$C$8="R",IF(MOD(INT((($D$3+1*7+5-WEEKDAY($D$3+1*7+5,2)+1)-'設定'!$B$4)/7)+IF('設定'!$D$8="",0,'設定'!$D$8),16)&lt;4,"A",IF(MOD(INT((($D$3+1*7+5-WEEKDAY($D$3+1*7+5,2)+1)-'設定'!$B$4)/7)+IF('設定'!$D$8="",0,'設定'!$D$8),16)&lt;8,"P",IF(MOD(INT((($D$3+1*7+5-WEEKDAY($D$3+1*7+5,2)+1)-'設定'!$B$4)/7)+IF('設定'!$D$8="",0,'設定'!$D$8),16)&lt;12,"N","P"))),""))))))</f>
        <v/>
      </c>
      <c r="G16" s="44">
        <f>IF(OR(G14="",'設定'!$B$8=""),"",IF(COUNTIFS(LeaveName,'設定'!$B$8,LeaveDate,"="&amp;($D$3+1*7+6),LeaveType,"AL")&gt;0,"AL",IF(COUNTIFS(LeaveName,'設定'!$B$8,LeaveDate,"="&amp;($D$3+1*7+6),LeaveType,"SL")&gt;0,"SL",IF('設定'!$B$8="","",IF('設定'!$C$8="S","S",IF('設定'!$C$8="R",IF(MOD(INT((($D$3+1*7+6-WEEKDAY($D$3+1*7+6,2)+1)-'設定'!$B$4)/7)+IF('設定'!$D$8="",0,'設定'!$D$8),16)&lt;4,"A",IF(MOD(INT((($D$3+1*7+6-WEEKDAY($D$3+1*7+6,2)+1)-'設定'!$B$4)/7)+IF('設定'!$D$8="",0,'設定'!$D$8),16)&lt;8,"P",IF(MOD(INT((($D$3+1*7+6-WEEKDAY($D$3+1*7+6,2)+1)-'設定'!$B$4)/7)+IF('設定'!$D$8="",0,'設定'!$D$8),16)&lt;12,"N","P"))),""))))))</f>
        <v/>
      </c>
      <c r="I16" s="45">
        <f>'設定'!B8</f>
        <v/>
      </c>
    </row>
    <row r="17">
      <c r="A17" s="44">
        <f>IF(OR(A14="",'設定'!$B$9=""),"",IF(COUNTIFS(LeaveName,'設定'!$B$9,LeaveDate,"="&amp;($D$3+1*7+0),LeaveType,"AL")&gt;0,"AL",IF(COUNTIFS(LeaveName,'設定'!$B$9,LeaveDate,"="&amp;($D$3+1*7+0),LeaveType,"SL")&gt;0,"SL",IF('設定'!$B$9="","",IF('設定'!$C$9="S","S",IF('設定'!$C$9="R",IF(MOD(INT((($D$3+1*7+0-WEEKDAY($D$3+1*7+0,2)+1)-'設定'!$B$4)/7)+IF('設定'!$D$9="",0,'設定'!$D$9),16)&lt;4,"A",IF(MOD(INT((($D$3+1*7+0-WEEKDAY($D$3+1*7+0,2)+1)-'設定'!$B$4)/7)+IF('設定'!$D$9="",0,'設定'!$D$9),16)&lt;8,"P",IF(MOD(INT((($D$3+1*7+0-WEEKDAY($D$3+1*7+0,2)+1)-'設定'!$B$4)/7)+IF('設定'!$D$9="",0,'設定'!$D$9),16)&lt;12,"N","P"))),""))))))</f>
        <v/>
      </c>
      <c r="B17" s="44">
        <f>IF(OR(B14="",'設定'!$B$9=""),"",IF(COUNTIFS(LeaveName,'設定'!$B$9,LeaveDate,"="&amp;($D$3+1*7+1),LeaveType,"AL")&gt;0,"AL",IF(COUNTIFS(LeaveName,'設定'!$B$9,LeaveDate,"="&amp;($D$3+1*7+1),LeaveType,"SL")&gt;0,"SL",IF('設定'!$B$9="","",IF('設定'!$C$9="S","S",IF('設定'!$C$9="R",IF(MOD(INT((($D$3+1*7+1-WEEKDAY($D$3+1*7+1,2)+1)-'設定'!$B$4)/7)+IF('設定'!$D$9="",0,'設定'!$D$9),16)&lt;4,"A",IF(MOD(INT((($D$3+1*7+1-WEEKDAY($D$3+1*7+1,2)+1)-'設定'!$B$4)/7)+IF('設定'!$D$9="",0,'設定'!$D$9),16)&lt;8,"P",IF(MOD(INT((($D$3+1*7+1-WEEKDAY($D$3+1*7+1,2)+1)-'設定'!$B$4)/7)+IF('設定'!$D$9="",0,'設定'!$D$9),16)&lt;12,"N","P"))),""))))))</f>
        <v/>
      </c>
      <c r="C17" s="44">
        <f>IF(OR(C14="",'設定'!$B$9=""),"",IF(COUNTIFS(LeaveName,'設定'!$B$9,LeaveDate,"="&amp;($D$3+1*7+2),LeaveType,"AL")&gt;0,"AL",IF(COUNTIFS(LeaveName,'設定'!$B$9,LeaveDate,"="&amp;($D$3+1*7+2),LeaveType,"SL")&gt;0,"SL",IF('設定'!$B$9="","",IF('設定'!$C$9="S","S",IF('設定'!$C$9="R",IF(MOD(INT((($D$3+1*7+2-WEEKDAY($D$3+1*7+2,2)+1)-'設定'!$B$4)/7)+IF('設定'!$D$9="",0,'設定'!$D$9),16)&lt;4,"A",IF(MOD(INT((($D$3+1*7+2-WEEKDAY($D$3+1*7+2,2)+1)-'設定'!$B$4)/7)+IF('設定'!$D$9="",0,'設定'!$D$9),16)&lt;8,"P",IF(MOD(INT((($D$3+1*7+2-WEEKDAY($D$3+1*7+2,2)+1)-'設定'!$B$4)/7)+IF('設定'!$D$9="",0,'設定'!$D$9),16)&lt;12,"N","P"))),""))))))</f>
        <v/>
      </c>
      <c r="D17" s="44">
        <f>IF(OR(D14="",'設定'!$B$9=""),"",IF(COUNTIFS(LeaveName,'設定'!$B$9,LeaveDate,"="&amp;($D$3+1*7+3),LeaveType,"AL")&gt;0,"AL",IF(COUNTIFS(LeaveName,'設定'!$B$9,LeaveDate,"="&amp;($D$3+1*7+3),LeaveType,"SL")&gt;0,"SL",IF('設定'!$B$9="","",IF('設定'!$C$9="S","S",IF('設定'!$C$9="R",IF(MOD(INT((($D$3+1*7+3-WEEKDAY($D$3+1*7+3,2)+1)-'設定'!$B$4)/7)+IF('設定'!$D$9="",0,'設定'!$D$9),16)&lt;4,"A",IF(MOD(INT((($D$3+1*7+3-WEEKDAY($D$3+1*7+3,2)+1)-'設定'!$B$4)/7)+IF('設定'!$D$9="",0,'設定'!$D$9),16)&lt;8,"P",IF(MOD(INT((($D$3+1*7+3-WEEKDAY($D$3+1*7+3,2)+1)-'設定'!$B$4)/7)+IF('設定'!$D$9="",0,'設定'!$D$9),16)&lt;12,"N","P"))),""))))))</f>
        <v/>
      </c>
      <c r="E17" s="44">
        <f>IF(OR(E14="",'設定'!$B$9=""),"",IF(COUNTIFS(LeaveName,'設定'!$B$9,LeaveDate,"="&amp;($D$3+1*7+4),LeaveType,"AL")&gt;0,"AL",IF(COUNTIFS(LeaveName,'設定'!$B$9,LeaveDate,"="&amp;($D$3+1*7+4),LeaveType,"SL")&gt;0,"SL",IF('設定'!$B$9="","",IF('設定'!$C$9="S","S",IF('設定'!$C$9="R",IF(MOD(INT((($D$3+1*7+4-WEEKDAY($D$3+1*7+4,2)+1)-'設定'!$B$4)/7)+IF('設定'!$D$9="",0,'設定'!$D$9),16)&lt;4,"A",IF(MOD(INT((($D$3+1*7+4-WEEKDAY($D$3+1*7+4,2)+1)-'設定'!$B$4)/7)+IF('設定'!$D$9="",0,'設定'!$D$9),16)&lt;8,"P",IF(MOD(INT((($D$3+1*7+4-WEEKDAY($D$3+1*7+4,2)+1)-'設定'!$B$4)/7)+IF('設定'!$D$9="",0,'設定'!$D$9),16)&lt;12,"N","P"))),""))))))</f>
        <v/>
      </c>
      <c r="F17" s="44">
        <f>IF(OR(F14="",'設定'!$B$9=""),"",IF(COUNTIFS(LeaveName,'設定'!$B$9,LeaveDate,"="&amp;($D$3+1*7+5),LeaveType,"AL")&gt;0,"AL",IF(COUNTIFS(LeaveName,'設定'!$B$9,LeaveDate,"="&amp;($D$3+1*7+5),LeaveType,"SL")&gt;0,"SL",IF('設定'!$B$9="","",IF('設定'!$C$9="S","S",IF('設定'!$C$9="R",IF(MOD(INT((($D$3+1*7+5-WEEKDAY($D$3+1*7+5,2)+1)-'設定'!$B$4)/7)+IF('設定'!$D$9="",0,'設定'!$D$9),16)&lt;4,"A",IF(MOD(INT((($D$3+1*7+5-WEEKDAY($D$3+1*7+5,2)+1)-'設定'!$B$4)/7)+IF('設定'!$D$9="",0,'設定'!$D$9),16)&lt;8,"P",IF(MOD(INT((($D$3+1*7+5-WEEKDAY($D$3+1*7+5,2)+1)-'設定'!$B$4)/7)+IF('設定'!$D$9="",0,'設定'!$D$9),16)&lt;12,"N","P"))),""))))))</f>
        <v/>
      </c>
      <c r="G17" s="44">
        <f>IF(OR(G14="",'設定'!$B$9=""),"",IF(COUNTIFS(LeaveName,'設定'!$B$9,LeaveDate,"="&amp;($D$3+1*7+6),LeaveType,"AL")&gt;0,"AL",IF(COUNTIFS(LeaveName,'設定'!$B$9,LeaveDate,"="&amp;($D$3+1*7+6),LeaveType,"SL")&gt;0,"SL",IF('設定'!$B$9="","",IF('設定'!$C$9="S","S",IF('設定'!$C$9="R",IF(MOD(INT((($D$3+1*7+6-WEEKDAY($D$3+1*7+6,2)+1)-'設定'!$B$4)/7)+IF('設定'!$D$9="",0,'設定'!$D$9),16)&lt;4,"A",IF(MOD(INT((($D$3+1*7+6-WEEKDAY($D$3+1*7+6,2)+1)-'設定'!$B$4)/7)+IF('設定'!$D$9="",0,'設定'!$D$9),16)&lt;8,"P",IF(MOD(INT((($D$3+1*7+6-WEEKDAY($D$3+1*7+6,2)+1)-'設定'!$B$4)/7)+IF('設定'!$D$9="",0,'設定'!$D$9),16)&lt;12,"N","P"))),""))))))</f>
        <v/>
      </c>
      <c r="I17" s="45">
        <f>'設定'!B9</f>
        <v/>
      </c>
    </row>
    <row r="18">
      <c r="A18" s="44">
        <f>IF(OR(A14="",'設定'!$B$10=""),"",IF(COUNTIFS(LeaveName,'設定'!$B$10,LeaveDate,"="&amp;($D$3+1*7+0),LeaveType,"AL")&gt;0,"AL",IF(COUNTIFS(LeaveName,'設定'!$B$10,LeaveDate,"="&amp;($D$3+1*7+0),LeaveType,"SL")&gt;0,"SL",IF('設定'!$B$10="","",IF('設定'!$C$10="S","S",IF('設定'!$C$10="R",IF(MOD(INT((($D$3+1*7+0-WEEKDAY($D$3+1*7+0,2)+1)-'設定'!$B$4)/7)+IF('設定'!$D$10="",0,'設定'!$D$10),16)&lt;4,"A",IF(MOD(INT((($D$3+1*7+0-WEEKDAY($D$3+1*7+0,2)+1)-'設定'!$B$4)/7)+IF('設定'!$D$10="",0,'設定'!$D$10),16)&lt;8,"P",IF(MOD(INT((($D$3+1*7+0-WEEKDAY($D$3+1*7+0,2)+1)-'設定'!$B$4)/7)+IF('設定'!$D$10="",0,'設定'!$D$10),16)&lt;12,"N","P"))),""))))))</f>
        <v/>
      </c>
      <c r="B18" s="44">
        <f>IF(OR(B14="",'設定'!$B$10=""),"",IF(COUNTIFS(LeaveName,'設定'!$B$10,LeaveDate,"="&amp;($D$3+1*7+1),LeaveType,"AL")&gt;0,"AL",IF(COUNTIFS(LeaveName,'設定'!$B$10,LeaveDate,"="&amp;($D$3+1*7+1),LeaveType,"SL")&gt;0,"SL",IF('設定'!$B$10="","",IF('設定'!$C$10="S","S",IF('設定'!$C$10="R",IF(MOD(INT((($D$3+1*7+1-WEEKDAY($D$3+1*7+1,2)+1)-'設定'!$B$4)/7)+IF('設定'!$D$10="",0,'設定'!$D$10),16)&lt;4,"A",IF(MOD(INT((($D$3+1*7+1-WEEKDAY($D$3+1*7+1,2)+1)-'設定'!$B$4)/7)+IF('設定'!$D$10="",0,'設定'!$D$10),16)&lt;8,"P",IF(MOD(INT((($D$3+1*7+1-WEEKDAY($D$3+1*7+1,2)+1)-'設定'!$B$4)/7)+IF('設定'!$D$10="",0,'設定'!$D$10),16)&lt;12,"N","P"))),""))))))</f>
        <v/>
      </c>
      <c r="C18" s="44">
        <f>IF(OR(C14="",'設定'!$B$10=""),"",IF(COUNTIFS(LeaveName,'設定'!$B$10,LeaveDate,"="&amp;($D$3+1*7+2),LeaveType,"AL")&gt;0,"AL",IF(COUNTIFS(LeaveName,'設定'!$B$10,LeaveDate,"="&amp;($D$3+1*7+2),LeaveType,"SL")&gt;0,"SL",IF('設定'!$B$10="","",IF('設定'!$C$10="S","S",IF('設定'!$C$10="R",IF(MOD(INT((($D$3+1*7+2-WEEKDAY($D$3+1*7+2,2)+1)-'設定'!$B$4)/7)+IF('設定'!$D$10="",0,'設定'!$D$10),16)&lt;4,"A",IF(MOD(INT((($D$3+1*7+2-WEEKDAY($D$3+1*7+2,2)+1)-'設定'!$B$4)/7)+IF('設定'!$D$10="",0,'設定'!$D$10),16)&lt;8,"P",IF(MOD(INT((($D$3+1*7+2-WEEKDAY($D$3+1*7+2,2)+1)-'設定'!$B$4)/7)+IF('設定'!$D$10="",0,'設定'!$D$10),16)&lt;12,"N","P"))),""))))))</f>
        <v/>
      </c>
      <c r="D18" s="44">
        <f>IF(OR(D14="",'設定'!$B$10=""),"",IF(COUNTIFS(LeaveName,'設定'!$B$10,LeaveDate,"="&amp;($D$3+1*7+3),LeaveType,"AL")&gt;0,"AL",IF(COUNTIFS(LeaveName,'設定'!$B$10,LeaveDate,"="&amp;($D$3+1*7+3),LeaveType,"SL")&gt;0,"SL",IF('設定'!$B$10="","",IF('設定'!$C$10="S","S",IF('設定'!$C$10="R",IF(MOD(INT((($D$3+1*7+3-WEEKDAY($D$3+1*7+3,2)+1)-'設定'!$B$4)/7)+IF('設定'!$D$10="",0,'設定'!$D$10),16)&lt;4,"A",IF(MOD(INT((($D$3+1*7+3-WEEKDAY($D$3+1*7+3,2)+1)-'設定'!$B$4)/7)+IF('設定'!$D$10="",0,'設定'!$D$10),16)&lt;8,"P",IF(MOD(INT((($D$3+1*7+3-WEEKDAY($D$3+1*7+3,2)+1)-'設定'!$B$4)/7)+IF('設定'!$D$10="",0,'設定'!$D$10),16)&lt;12,"N","P"))),""))))))</f>
        <v/>
      </c>
      <c r="E18" s="44">
        <f>IF(OR(E14="",'設定'!$B$10=""),"",IF(COUNTIFS(LeaveName,'設定'!$B$10,LeaveDate,"="&amp;($D$3+1*7+4),LeaveType,"AL")&gt;0,"AL",IF(COUNTIFS(LeaveName,'設定'!$B$10,LeaveDate,"="&amp;($D$3+1*7+4),LeaveType,"SL")&gt;0,"SL",IF('設定'!$B$10="","",IF('設定'!$C$10="S","S",IF('設定'!$C$10="R",IF(MOD(INT((($D$3+1*7+4-WEEKDAY($D$3+1*7+4,2)+1)-'設定'!$B$4)/7)+IF('設定'!$D$10="",0,'設定'!$D$10),16)&lt;4,"A",IF(MOD(INT((($D$3+1*7+4-WEEKDAY($D$3+1*7+4,2)+1)-'設定'!$B$4)/7)+IF('設定'!$D$10="",0,'設定'!$D$10),16)&lt;8,"P",IF(MOD(INT((($D$3+1*7+4-WEEKDAY($D$3+1*7+4,2)+1)-'設定'!$B$4)/7)+IF('設定'!$D$10="",0,'設定'!$D$10),16)&lt;12,"N","P"))),""))))))</f>
        <v/>
      </c>
      <c r="F18" s="44">
        <f>IF(OR(F14="",'設定'!$B$10=""),"",IF(COUNTIFS(LeaveName,'設定'!$B$10,LeaveDate,"="&amp;($D$3+1*7+5),LeaveType,"AL")&gt;0,"AL",IF(COUNTIFS(LeaveName,'設定'!$B$10,LeaveDate,"="&amp;($D$3+1*7+5),LeaveType,"SL")&gt;0,"SL",IF('設定'!$B$10="","",IF('設定'!$C$10="S","S",IF('設定'!$C$10="R",IF(MOD(INT((($D$3+1*7+5-WEEKDAY($D$3+1*7+5,2)+1)-'設定'!$B$4)/7)+IF('設定'!$D$10="",0,'設定'!$D$10),16)&lt;4,"A",IF(MOD(INT((($D$3+1*7+5-WEEKDAY($D$3+1*7+5,2)+1)-'設定'!$B$4)/7)+IF('設定'!$D$10="",0,'設定'!$D$10),16)&lt;8,"P",IF(MOD(INT((($D$3+1*7+5-WEEKDAY($D$3+1*7+5,2)+1)-'設定'!$B$4)/7)+IF('設定'!$D$10="",0,'設定'!$D$10),16)&lt;12,"N","P"))),""))))))</f>
        <v/>
      </c>
      <c r="G18" s="44">
        <f>IF(OR(G14="",'設定'!$B$10=""),"",IF(COUNTIFS(LeaveName,'設定'!$B$10,LeaveDate,"="&amp;($D$3+1*7+6),LeaveType,"AL")&gt;0,"AL",IF(COUNTIFS(LeaveName,'設定'!$B$10,LeaveDate,"="&amp;($D$3+1*7+6),LeaveType,"SL")&gt;0,"SL",IF('設定'!$B$10="","",IF('設定'!$C$10="S","S",IF('設定'!$C$10="R",IF(MOD(INT((($D$3+1*7+6-WEEKDAY($D$3+1*7+6,2)+1)-'設定'!$B$4)/7)+IF('設定'!$D$10="",0,'設定'!$D$10),16)&lt;4,"A",IF(MOD(INT((($D$3+1*7+6-WEEKDAY($D$3+1*7+6,2)+1)-'設定'!$B$4)/7)+IF('設定'!$D$10="",0,'設定'!$D$10),16)&lt;8,"P",IF(MOD(INT((($D$3+1*7+6-WEEKDAY($D$3+1*7+6,2)+1)-'設定'!$B$4)/7)+IF('設定'!$D$10="",0,'設定'!$D$10),16)&lt;12,"N","P"))),""))))))</f>
        <v/>
      </c>
      <c r="I18" s="45">
        <f>'設定'!B10</f>
        <v/>
      </c>
    </row>
    <row r="19">
      <c r="A19" s="44">
        <f>IF(OR(A14="",'設定'!$B$11=""),"",IF(COUNTIFS(LeaveName,'設定'!$B$11,LeaveDate,"="&amp;($D$3+1*7+0),LeaveType,"AL")&gt;0,"AL",IF(COUNTIFS(LeaveName,'設定'!$B$11,LeaveDate,"="&amp;($D$3+1*7+0),LeaveType,"SL")&gt;0,"SL",IF('設定'!$B$11="","",IF('設定'!$C$11="S","S",IF('設定'!$C$11="R",IF(MOD(INT((($D$3+1*7+0-WEEKDAY($D$3+1*7+0,2)+1)-'設定'!$B$4)/7)+IF('設定'!$D$11="",0,'設定'!$D$11),16)&lt;4,"A",IF(MOD(INT((($D$3+1*7+0-WEEKDAY($D$3+1*7+0,2)+1)-'設定'!$B$4)/7)+IF('設定'!$D$11="",0,'設定'!$D$11),16)&lt;8,"P",IF(MOD(INT((($D$3+1*7+0-WEEKDAY($D$3+1*7+0,2)+1)-'設定'!$B$4)/7)+IF('設定'!$D$11="",0,'設定'!$D$11),16)&lt;12,"N","P"))),""))))))</f>
        <v/>
      </c>
      <c r="B19" s="44">
        <f>IF(OR(B14="",'設定'!$B$11=""),"",IF(COUNTIFS(LeaveName,'設定'!$B$11,LeaveDate,"="&amp;($D$3+1*7+1),LeaveType,"AL")&gt;0,"AL",IF(COUNTIFS(LeaveName,'設定'!$B$11,LeaveDate,"="&amp;($D$3+1*7+1),LeaveType,"SL")&gt;0,"SL",IF('設定'!$B$11="","",IF('設定'!$C$11="S","S",IF('設定'!$C$11="R",IF(MOD(INT((($D$3+1*7+1-WEEKDAY($D$3+1*7+1,2)+1)-'設定'!$B$4)/7)+IF('設定'!$D$11="",0,'設定'!$D$11),16)&lt;4,"A",IF(MOD(INT((($D$3+1*7+1-WEEKDAY($D$3+1*7+1,2)+1)-'設定'!$B$4)/7)+IF('設定'!$D$11="",0,'設定'!$D$11),16)&lt;8,"P",IF(MOD(INT((($D$3+1*7+1-WEEKDAY($D$3+1*7+1,2)+1)-'設定'!$B$4)/7)+IF('設定'!$D$11="",0,'設定'!$D$11),16)&lt;12,"N","P"))),""))))))</f>
        <v/>
      </c>
      <c r="C19" s="44">
        <f>IF(OR(C14="",'設定'!$B$11=""),"",IF(COUNTIFS(LeaveName,'設定'!$B$11,LeaveDate,"="&amp;($D$3+1*7+2),LeaveType,"AL")&gt;0,"AL",IF(COUNTIFS(LeaveName,'設定'!$B$11,LeaveDate,"="&amp;($D$3+1*7+2),LeaveType,"SL")&gt;0,"SL",IF('設定'!$B$11="","",IF('設定'!$C$11="S","S",IF('設定'!$C$11="R",IF(MOD(INT((($D$3+1*7+2-WEEKDAY($D$3+1*7+2,2)+1)-'設定'!$B$4)/7)+IF('設定'!$D$11="",0,'設定'!$D$11),16)&lt;4,"A",IF(MOD(INT((($D$3+1*7+2-WEEKDAY($D$3+1*7+2,2)+1)-'設定'!$B$4)/7)+IF('設定'!$D$11="",0,'設定'!$D$11),16)&lt;8,"P",IF(MOD(INT((($D$3+1*7+2-WEEKDAY($D$3+1*7+2,2)+1)-'設定'!$B$4)/7)+IF('設定'!$D$11="",0,'設定'!$D$11),16)&lt;12,"N","P"))),""))))))</f>
        <v/>
      </c>
      <c r="D19" s="44">
        <f>IF(OR(D14="",'設定'!$B$11=""),"",IF(COUNTIFS(LeaveName,'設定'!$B$11,LeaveDate,"="&amp;($D$3+1*7+3),LeaveType,"AL")&gt;0,"AL",IF(COUNTIFS(LeaveName,'設定'!$B$11,LeaveDate,"="&amp;($D$3+1*7+3),LeaveType,"SL")&gt;0,"SL",IF('設定'!$B$11="","",IF('設定'!$C$11="S","S",IF('設定'!$C$11="R",IF(MOD(INT((($D$3+1*7+3-WEEKDAY($D$3+1*7+3,2)+1)-'設定'!$B$4)/7)+IF('設定'!$D$11="",0,'設定'!$D$11),16)&lt;4,"A",IF(MOD(INT((($D$3+1*7+3-WEEKDAY($D$3+1*7+3,2)+1)-'設定'!$B$4)/7)+IF('設定'!$D$11="",0,'設定'!$D$11),16)&lt;8,"P",IF(MOD(INT((($D$3+1*7+3-WEEKDAY($D$3+1*7+3,2)+1)-'設定'!$B$4)/7)+IF('設定'!$D$11="",0,'設定'!$D$11),16)&lt;12,"N","P"))),""))))))</f>
        <v/>
      </c>
      <c r="E19" s="44">
        <f>IF(OR(E14="",'設定'!$B$11=""),"",IF(COUNTIFS(LeaveName,'設定'!$B$11,LeaveDate,"="&amp;($D$3+1*7+4),LeaveType,"AL")&gt;0,"AL",IF(COUNTIFS(LeaveName,'設定'!$B$11,LeaveDate,"="&amp;($D$3+1*7+4),LeaveType,"SL")&gt;0,"SL",IF('設定'!$B$11="","",IF('設定'!$C$11="S","S",IF('設定'!$C$11="R",IF(MOD(INT((($D$3+1*7+4-WEEKDAY($D$3+1*7+4,2)+1)-'設定'!$B$4)/7)+IF('設定'!$D$11="",0,'設定'!$D$11),16)&lt;4,"A",IF(MOD(INT((($D$3+1*7+4-WEEKDAY($D$3+1*7+4,2)+1)-'設定'!$B$4)/7)+IF('設定'!$D$11="",0,'設定'!$D$11),16)&lt;8,"P",IF(MOD(INT((($D$3+1*7+4-WEEKDAY($D$3+1*7+4,2)+1)-'設定'!$B$4)/7)+IF('設定'!$D$11="",0,'設定'!$D$11),16)&lt;12,"N","P"))),""))))))</f>
        <v/>
      </c>
      <c r="F19" s="44">
        <f>IF(OR(F14="",'設定'!$B$11=""),"",IF(COUNTIFS(LeaveName,'設定'!$B$11,LeaveDate,"="&amp;($D$3+1*7+5),LeaveType,"AL")&gt;0,"AL",IF(COUNTIFS(LeaveName,'設定'!$B$11,LeaveDate,"="&amp;($D$3+1*7+5),LeaveType,"SL")&gt;0,"SL",IF('設定'!$B$11="","",IF('設定'!$C$11="S","S",IF('設定'!$C$11="R",IF(MOD(INT((($D$3+1*7+5-WEEKDAY($D$3+1*7+5,2)+1)-'設定'!$B$4)/7)+IF('設定'!$D$11="",0,'設定'!$D$11),16)&lt;4,"A",IF(MOD(INT((($D$3+1*7+5-WEEKDAY($D$3+1*7+5,2)+1)-'設定'!$B$4)/7)+IF('設定'!$D$11="",0,'設定'!$D$11),16)&lt;8,"P",IF(MOD(INT((($D$3+1*7+5-WEEKDAY($D$3+1*7+5,2)+1)-'設定'!$B$4)/7)+IF('設定'!$D$11="",0,'設定'!$D$11),16)&lt;12,"N","P"))),""))))))</f>
        <v/>
      </c>
      <c r="G19" s="44">
        <f>IF(OR(G14="",'設定'!$B$11=""),"",IF(COUNTIFS(LeaveName,'設定'!$B$11,LeaveDate,"="&amp;($D$3+1*7+6),LeaveType,"AL")&gt;0,"AL",IF(COUNTIFS(LeaveName,'設定'!$B$11,LeaveDate,"="&amp;($D$3+1*7+6),LeaveType,"SL")&gt;0,"SL",IF('設定'!$B$11="","",IF('設定'!$C$11="S","S",IF('設定'!$C$11="R",IF(MOD(INT((($D$3+1*7+6-WEEKDAY($D$3+1*7+6,2)+1)-'設定'!$B$4)/7)+IF('設定'!$D$11="",0,'設定'!$D$11),16)&lt;4,"A",IF(MOD(INT((($D$3+1*7+6-WEEKDAY($D$3+1*7+6,2)+1)-'設定'!$B$4)/7)+IF('設定'!$D$11="",0,'設定'!$D$11),16)&lt;8,"P",IF(MOD(INT((($D$3+1*7+6-WEEKDAY($D$3+1*7+6,2)+1)-'設定'!$B$4)/7)+IF('設定'!$D$11="",0,'設定'!$D$11),16)&lt;12,"N","P"))),""))))))</f>
        <v/>
      </c>
      <c r="I19" s="45">
        <f>'設定'!B11</f>
        <v/>
      </c>
    </row>
    <row r="20">
      <c r="A20" s="44">
        <f>IF(OR(A14="",'設定'!$B$12=""),"",IF(COUNTIFS(LeaveName,'設定'!$B$12,LeaveDate,"="&amp;($D$3+1*7+0),LeaveType,"AL")&gt;0,"AL",IF(COUNTIFS(LeaveName,'設定'!$B$12,LeaveDate,"="&amp;($D$3+1*7+0),LeaveType,"SL")&gt;0,"SL",IF('設定'!$B$12="","",IF('設定'!$C$12="S","S",IF('設定'!$C$12="R",IF(MOD(INT((($D$3+1*7+0-WEEKDAY($D$3+1*7+0,2)+1)-'設定'!$B$4)/7)+IF('設定'!$D$12="",0,'設定'!$D$12),16)&lt;4,"A",IF(MOD(INT((($D$3+1*7+0-WEEKDAY($D$3+1*7+0,2)+1)-'設定'!$B$4)/7)+IF('設定'!$D$12="",0,'設定'!$D$12),16)&lt;8,"P",IF(MOD(INT((($D$3+1*7+0-WEEKDAY($D$3+1*7+0,2)+1)-'設定'!$B$4)/7)+IF('設定'!$D$12="",0,'設定'!$D$12),16)&lt;12,"N","P"))),""))))))</f>
        <v/>
      </c>
      <c r="B20" s="44">
        <f>IF(OR(B14="",'設定'!$B$12=""),"",IF(COUNTIFS(LeaveName,'設定'!$B$12,LeaveDate,"="&amp;($D$3+1*7+1),LeaveType,"AL")&gt;0,"AL",IF(COUNTIFS(LeaveName,'設定'!$B$12,LeaveDate,"="&amp;($D$3+1*7+1),LeaveType,"SL")&gt;0,"SL",IF('設定'!$B$12="","",IF('設定'!$C$12="S","S",IF('設定'!$C$12="R",IF(MOD(INT((($D$3+1*7+1-WEEKDAY($D$3+1*7+1,2)+1)-'設定'!$B$4)/7)+IF('設定'!$D$12="",0,'設定'!$D$12),16)&lt;4,"A",IF(MOD(INT((($D$3+1*7+1-WEEKDAY($D$3+1*7+1,2)+1)-'設定'!$B$4)/7)+IF('設定'!$D$12="",0,'設定'!$D$12),16)&lt;8,"P",IF(MOD(INT((($D$3+1*7+1-WEEKDAY($D$3+1*7+1,2)+1)-'設定'!$B$4)/7)+IF('設定'!$D$12="",0,'設定'!$D$12),16)&lt;12,"N","P"))),""))))))</f>
        <v/>
      </c>
      <c r="C20" s="44">
        <f>IF(OR(C14="",'設定'!$B$12=""),"",IF(COUNTIFS(LeaveName,'設定'!$B$12,LeaveDate,"="&amp;($D$3+1*7+2),LeaveType,"AL")&gt;0,"AL",IF(COUNTIFS(LeaveName,'設定'!$B$12,LeaveDate,"="&amp;($D$3+1*7+2),LeaveType,"SL")&gt;0,"SL",IF('設定'!$B$12="","",IF('設定'!$C$12="S","S",IF('設定'!$C$12="R",IF(MOD(INT((($D$3+1*7+2-WEEKDAY($D$3+1*7+2,2)+1)-'設定'!$B$4)/7)+IF('設定'!$D$12="",0,'設定'!$D$12),16)&lt;4,"A",IF(MOD(INT((($D$3+1*7+2-WEEKDAY($D$3+1*7+2,2)+1)-'設定'!$B$4)/7)+IF('設定'!$D$12="",0,'設定'!$D$12),16)&lt;8,"P",IF(MOD(INT((($D$3+1*7+2-WEEKDAY($D$3+1*7+2,2)+1)-'設定'!$B$4)/7)+IF('設定'!$D$12="",0,'設定'!$D$12),16)&lt;12,"N","P"))),""))))))</f>
        <v/>
      </c>
      <c r="D20" s="44">
        <f>IF(OR(D14="",'設定'!$B$12=""),"",IF(COUNTIFS(LeaveName,'設定'!$B$12,LeaveDate,"="&amp;($D$3+1*7+3),LeaveType,"AL")&gt;0,"AL",IF(COUNTIFS(LeaveName,'設定'!$B$12,LeaveDate,"="&amp;($D$3+1*7+3),LeaveType,"SL")&gt;0,"SL",IF('設定'!$B$12="","",IF('設定'!$C$12="S","S",IF('設定'!$C$12="R",IF(MOD(INT((($D$3+1*7+3-WEEKDAY($D$3+1*7+3,2)+1)-'設定'!$B$4)/7)+IF('設定'!$D$12="",0,'設定'!$D$12),16)&lt;4,"A",IF(MOD(INT((($D$3+1*7+3-WEEKDAY($D$3+1*7+3,2)+1)-'設定'!$B$4)/7)+IF('設定'!$D$12="",0,'設定'!$D$12),16)&lt;8,"P",IF(MOD(INT((($D$3+1*7+3-WEEKDAY($D$3+1*7+3,2)+1)-'設定'!$B$4)/7)+IF('設定'!$D$12="",0,'設定'!$D$12),16)&lt;12,"N","P"))),""))))))</f>
        <v/>
      </c>
      <c r="E20" s="44">
        <f>IF(OR(E14="",'設定'!$B$12=""),"",IF(COUNTIFS(LeaveName,'設定'!$B$12,LeaveDate,"="&amp;($D$3+1*7+4),LeaveType,"AL")&gt;0,"AL",IF(COUNTIFS(LeaveName,'設定'!$B$12,LeaveDate,"="&amp;($D$3+1*7+4),LeaveType,"SL")&gt;0,"SL",IF('設定'!$B$12="","",IF('設定'!$C$12="S","S",IF('設定'!$C$12="R",IF(MOD(INT((($D$3+1*7+4-WEEKDAY($D$3+1*7+4,2)+1)-'設定'!$B$4)/7)+IF('設定'!$D$12="",0,'設定'!$D$12),16)&lt;4,"A",IF(MOD(INT((($D$3+1*7+4-WEEKDAY($D$3+1*7+4,2)+1)-'設定'!$B$4)/7)+IF('設定'!$D$12="",0,'設定'!$D$12),16)&lt;8,"P",IF(MOD(INT((($D$3+1*7+4-WEEKDAY($D$3+1*7+4,2)+1)-'設定'!$B$4)/7)+IF('設定'!$D$12="",0,'設定'!$D$12),16)&lt;12,"N","P"))),""))))))</f>
        <v/>
      </c>
      <c r="F20" s="44">
        <f>IF(OR(F14="",'設定'!$B$12=""),"",IF(COUNTIFS(LeaveName,'設定'!$B$12,LeaveDate,"="&amp;($D$3+1*7+5),LeaveType,"AL")&gt;0,"AL",IF(COUNTIFS(LeaveName,'設定'!$B$12,LeaveDate,"="&amp;($D$3+1*7+5),LeaveType,"SL")&gt;0,"SL",IF('設定'!$B$12="","",IF('設定'!$C$12="S","S",IF('設定'!$C$12="R",IF(MOD(INT((($D$3+1*7+5-WEEKDAY($D$3+1*7+5,2)+1)-'設定'!$B$4)/7)+IF('設定'!$D$12="",0,'設定'!$D$12),16)&lt;4,"A",IF(MOD(INT((($D$3+1*7+5-WEEKDAY($D$3+1*7+5,2)+1)-'設定'!$B$4)/7)+IF('設定'!$D$12="",0,'設定'!$D$12),16)&lt;8,"P",IF(MOD(INT((($D$3+1*7+5-WEEKDAY($D$3+1*7+5,2)+1)-'設定'!$B$4)/7)+IF('設定'!$D$12="",0,'設定'!$D$12),16)&lt;12,"N","P"))),""))))))</f>
        <v/>
      </c>
      <c r="G20" s="44">
        <f>IF(OR(G14="",'設定'!$B$12=""),"",IF(COUNTIFS(LeaveName,'設定'!$B$12,LeaveDate,"="&amp;($D$3+1*7+6),LeaveType,"AL")&gt;0,"AL",IF(COUNTIFS(LeaveName,'設定'!$B$12,LeaveDate,"="&amp;($D$3+1*7+6),LeaveType,"SL")&gt;0,"SL",IF('設定'!$B$12="","",IF('設定'!$C$12="S","S",IF('設定'!$C$12="R",IF(MOD(INT((($D$3+1*7+6-WEEKDAY($D$3+1*7+6,2)+1)-'設定'!$B$4)/7)+IF('設定'!$D$12="",0,'設定'!$D$12),16)&lt;4,"A",IF(MOD(INT((($D$3+1*7+6-WEEKDAY($D$3+1*7+6,2)+1)-'設定'!$B$4)/7)+IF('設定'!$D$12="",0,'設定'!$D$12),16)&lt;8,"P",IF(MOD(INT((($D$3+1*7+6-WEEKDAY($D$3+1*7+6,2)+1)-'設定'!$B$4)/7)+IF('設定'!$D$12="",0,'設定'!$D$12),16)&lt;12,"N","P"))),""))))))</f>
        <v/>
      </c>
      <c r="I20" s="45">
        <f>'設定'!B12</f>
        <v/>
      </c>
    </row>
    <row r="21">
      <c r="A21" s="44">
        <f>IF(OR(A14="",'設定'!$B$13=""),"",IF(COUNTIFS(LeaveName,'設定'!$B$13,LeaveDate,"="&amp;($D$3+1*7+0),LeaveType,"AL")&gt;0,"AL",IF(COUNTIFS(LeaveName,'設定'!$B$13,LeaveDate,"="&amp;($D$3+1*7+0),LeaveType,"SL")&gt;0,"SL",IF('設定'!$B$13="","",IF('設定'!$C$13="S","S",IF('設定'!$C$13="R",IF(MOD(INT((($D$3+1*7+0-WEEKDAY($D$3+1*7+0,2)+1)-'設定'!$B$4)/7)+IF('設定'!$D$13="",0,'設定'!$D$13),16)&lt;4,"A",IF(MOD(INT((($D$3+1*7+0-WEEKDAY($D$3+1*7+0,2)+1)-'設定'!$B$4)/7)+IF('設定'!$D$13="",0,'設定'!$D$13),16)&lt;8,"P",IF(MOD(INT((($D$3+1*7+0-WEEKDAY($D$3+1*7+0,2)+1)-'設定'!$B$4)/7)+IF('設定'!$D$13="",0,'設定'!$D$13),16)&lt;12,"N","P"))),""))))))</f>
        <v/>
      </c>
      <c r="B21" s="44">
        <f>IF(OR(B14="",'設定'!$B$13=""),"",IF(COUNTIFS(LeaveName,'設定'!$B$13,LeaveDate,"="&amp;($D$3+1*7+1),LeaveType,"AL")&gt;0,"AL",IF(COUNTIFS(LeaveName,'設定'!$B$13,LeaveDate,"="&amp;($D$3+1*7+1),LeaveType,"SL")&gt;0,"SL",IF('設定'!$B$13="","",IF('設定'!$C$13="S","S",IF('設定'!$C$13="R",IF(MOD(INT((($D$3+1*7+1-WEEKDAY($D$3+1*7+1,2)+1)-'設定'!$B$4)/7)+IF('設定'!$D$13="",0,'設定'!$D$13),16)&lt;4,"A",IF(MOD(INT((($D$3+1*7+1-WEEKDAY($D$3+1*7+1,2)+1)-'設定'!$B$4)/7)+IF('設定'!$D$13="",0,'設定'!$D$13),16)&lt;8,"P",IF(MOD(INT((($D$3+1*7+1-WEEKDAY($D$3+1*7+1,2)+1)-'設定'!$B$4)/7)+IF('設定'!$D$13="",0,'設定'!$D$13),16)&lt;12,"N","P"))),""))))))</f>
        <v/>
      </c>
      <c r="C21" s="44">
        <f>IF(OR(C14="",'設定'!$B$13=""),"",IF(COUNTIFS(LeaveName,'設定'!$B$13,LeaveDate,"="&amp;($D$3+1*7+2),LeaveType,"AL")&gt;0,"AL",IF(COUNTIFS(LeaveName,'設定'!$B$13,LeaveDate,"="&amp;($D$3+1*7+2),LeaveType,"SL")&gt;0,"SL",IF('設定'!$B$13="","",IF('設定'!$C$13="S","S",IF('設定'!$C$13="R",IF(MOD(INT((($D$3+1*7+2-WEEKDAY($D$3+1*7+2,2)+1)-'設定'!$B$4)/7)+IF('設定'!$D$13="",0,'設定'!$D$13),16)&lt;4,"A",IF(MOD(INT((($D$3+1*7+2-WEEKDAY($D$3+1*7+2,2)+1)-'設定'!$B$4)/7)+IF('設定'!$D$13="",0,'設定'!$D$13),16)&lt;8,"P",IF(MOD(INT((($D$3+1*7+2-WEEKDAY($D$3+1*7+2,2)+1)-'設定'!$B$4)/7)+IF('設定'!$D$13="",0,'設定'!$D$13),16)&lt;12,"N","P"))),""))))))</f>
        <v/>
      </c>
      <c r="D21" s="44">
        <f>IF(OR(D14="",'設定'!$B$13=""),"",IF(COUNTIFS(LeaveName,'設定'!$B$13,LeaveDate,"="&amp;($D$3+1*7+3),LeaveType,"AL")&gt;0,"AL",IF(COUNTIFS(LeaveName,'設定'!$B$13,LeaveDate,"="&amp;($D$3+1*7+3),LeaveType,"SL")&gt;0,"SL",IF('設定'!$B$13="","",IF('設定'!$C$13="S","S",IF('設定'!$C$13="R",IF(MOD(INT((($D$3+1*7+3-WEEKDAY($D$3+1*7+3,2)+1)-'設定'!$B$4)/7)+IF('設定'!$D$13="",0,'設定'!$D$13),16)&lt;4,"A",IF(MOD(INT((($D$3+1*7+3-WEEKDAY($D$3+1*7+3,2)+1)-'設定'!$B$4)/7)+IF('設定'!$D$13="",0,'設定'!$D$13),16)&lt;8,"P",IF(MOD(INT((($D$3+1*7+3-WEEKDAY($D$3+1*7+3,2)+1)-'設定'!$B$4)/7)+IF('設定'!$D$13="",0,'設定'!$D$13),16)&lt;12,"N","P"))),""))))))</f>
        <v/>
      </c>
      <c r="E21" s="44">
        <f>IF(OR(E14="",'設定'!$B$13=""),"",IF(COUNTIFS(LeaveName,'設定'!$B$13,LeaveDate,"="&amp;($D$3+1*7+4),LeaveType,"AL")&gt;0,"AL",IF(COUNTIFS(LeaveName,'設定'!$B$13,LeaveDate,"="&amp;($D$3+1*7+4),LeaveType,"SL")&gt;0,"SL",IF('設定'!$B$13="","",IF('設定'!$C$13="S","S",IF('設定'!$C$13="R",IF(MOD(INT((($D$3+1*7+4-WEEKDAY($D$3+1*7+4,2)+1)-'設定'!$B$4)/7)+IF('設定'!$D$13="",0,'設定'!$D$13),16)&lt;4,"A",IF(MOD(INT((($D$3+1*7+4-WEEKDAY($D$3+1*7+4,2)+1)-'設定'!$B$4)/7)+IF('設定'!$D$13="",0,'設定'!$D$13),16)&lt;8,"P",IF(MOD(INT((($D$3+1*7+4-WEEKDAY($D$3+1*7+4,2)+1)-'設定'!$B$4)/7)+IF('設定'!$D$13="",0,'設定'!$D$13),16)&lt;12,"N","P"))),""))))))</f>
        <v/>
      </c>
      <c r="F21" s="44">
        <f>IF(OR(F14="",'設定'!$B$13=""),"",IF(COUNTIFS(LeaveName,'設定'!$B$13,LeaveDate,"="&amp;($D$3+1*7+5),LeaveType,"AL")&gt;0,"AL",IF(COUNTIFS(LeaveName,'設定'!$B$13,LeaveDate,"="&amp;($D$3+1*7+5),LeaveType,"SL")&gt;0,"SL",IF('設定'!$B$13="","",IF('設定'!$C$13="S","S",IF('設定'!$C$13="R",IF(MOD(INT((($D$3+1*7+5-WEEKDAY($D$3+1*7+5,2)+1)-'設定'!$B$4)/7)+IF('設定'!$D$13="",0,'設定'!$D$13),16)&lt;4,"A",IF(MOD(INT((($D$3+1*7+5-WEEKDAY($D$3+1*7+5,2)+1)-'設定'!$B$4)/7)+IF('設定'!$D$13="",0,'設定'!$D$13),16)&lt;8,"P",IF(MOD(INT((($D$3+1*7+5-WEEKDAY($D$3+1*7+5,2)+1)-'設定'!$B$4)/7)+IF('設定'!$D$13="",0,'設定'!$D$13),16)&lt;12,"N","P"))),""))))))</f>
        <v/>
      </c>
      <c r="G21" s="44">
        <f>IF(OR(G14="",'設定'!$B$13=""),"",IF(COUNTIFS(LeaveName,'設定'!$B$13,LeaveDate,"="&amp;($D$3+1*7+6),LeaveType,"AL")&gt;0,"AL",IF(COUNTIFS(LeaveName,'設定'!$B$13,LeaveDate,"="&amp;($D$3+1*7+6),LeaveType,"SL")&gt;0,"SL",IF('設定'!$B$13="","",IF('設定'!$C$13="S","S",IF('設定'!$C$13="R",IF(MOD(INT((($D$3+1*7+6-WEEKDAY($D$3+1*7+6,2)+1)-'設定'!$B$4)/7)+IF('設定'!$D$13="",0,'設定'!$D$13),16)&lt;4,"A",IF(MOD(INT((($D$3+1*7+6-WEEKDAY($D$3+1*7+6,2)+1)-'設定'!$B$4)/7)+IF('設定'!$D$13="",0,'設定'!$D$13),16)&lt;8,"P",IF(MOD(INT((($D$3+1*7+6-WEEKDAY($D$3+1*7+6,2)+1)-'設定'!$B$4)/7)+IF('設定'!$D$13="",0,'設定'!$D$13),16)&lt;12,"N","P"))),""))))))</f>
        <v/>
      </c>
      <c r="I21" s="45">
        <f>'設定'!B13</f>
        <v/>
      </c>
    </row>
    <row r="22">
      <c r="A22" s="41">
        <f>IF(OR(MONTH($D$3+2*7+0)&lt;&gt;MONTH($B$3),YEAR($D$3+2*7+0)&lt;&gt;YEAR($B$3)),"",$D$3+2*7+0)</f>
        <v/>
      </c>
      <c r="B22" s="41">
        <f>IF(OR(MONTH($D$3+2*7+1)&lt;&gt;MONTH($B$3),YEAR($D$3+2*7+1)&lt;&gt;YEAR($B$3)),"",$D$3+2*7+1)</f>
        <v/>
      </c>
      <c r="C22" s="41">
        <f>IF(OR(MONTH($D$3+2*7+2)&lt;&gt;MONTH($B$3),YEAR($D$3+2*7+2)&lt;&gt;YEAR($B$3)),"",$D$3+2*7+2)</f>
        <v/>
      </c>
      <c r="D22" s="41">
        <f>IF(OR(MONTH($D$3+2*7+3)&lt;&gt;MONTH($B$3),YEAR($D$3+2*7+3)&lt;&gt;YEAR($B$3)),"",$D$3+2*7+3)</f>
        <v/>
      </c>
      <c r="E22" s="41">
        <f>IF(OR(MONTH($D$3+2*7+4)&lt;&gt;MONTH($B$3),YEAR($D$3+2*7+4)&lt;&gt;YEAR($B$3)),"",$D$3+2*7+4)</f>
        <v/>
      </c>
      <c r="F22" s="41">
        <f>IF(OR(MONTH($D$3+2*7+5)&lt;&gt;MONTH($B$3),YEAR($D$3+2*7+5)&lt;&gt;YEAR($B$3)),"",$D$3+2*7+5)</f>
        <v/>
      </c>
      <c r="G22" s="41">
        <f>IF(OR(MONTH($D$3+2*7+6)&lt;&gt;MONTH($B$3),YEAR($D$3+2*7+6)&lt;&gt;YEAR($B$3)),"",$D$3+2*7+6)</f>
        <v/>
      </c>
      <c r="I22" s="42" t="inlineStr">
        <is>
          <t>日期</t>
        </is>
      </c>
    </row>
    <row r="23">
      <c r="A23" s="43">
        <f>IF(A22="","",IFERROR(INDEX(HolidayNames,MATCH($D$3+2*7+0,HolidayDates,0)),""))</f>
        <v/>
      </c>
      <c r="B23" s="43">
        <f>IF(B22="","",IFERROR(INDEX(HolidayNames,MATCH($D$3+2*7+1,HolidayDates,0)),""))</f>
        <v/>
      </c>
      <c r="C23" s="43">
        <f>IF(C22="","",IFERROR(INDEX(HolidayNames,MATCH($D$3+2*7+2,HolidayDates,0)),""))</f>
        <v/>
      </c>
      <c r="D23" s="43">
        <f>IF(D22="","",IFERROR(INDEX(HolidayNames,MATCH($D$3+2*7+3,HolidayDates,0)),""))</f>
        <v/>
      </c>
      <c r="E23" s="43">
        <f>IF(E22="","",IFERROR(INDEX(HolidayNames,MATCH($D$3+2*7+4,HolidayDates,0)),""))</f>
        <v/>
      </c>
      <c r="F23" s="43">
        <f>IF(F22="","",IFERROR(INDEX(HolidayNames,MATCH($D$3+2*7+5,HolidayDates,0)),""))</f>
        <v/>
      </c>
      <c r="G23" s="43">
        <f>IF(G22="","",IFERROR(INDEX(HolidayNames,MATCH($D$3+2*7+6,HolidayDates,0)),""))</f>
        <v/>
      </c>
      <c r="I23" s="42" t="inlineStr">
        <is>
          <t>公眾假期</t>
        </is>
      </c>
    </row>
    <row r="24">
      <c r="A24" s="44">
        <f>IF(OR(A22="",'設定'!$B$8=""),"",IF(COUNTIFS(LeaveName,'設定'!$B$8,LeaveDate,"="&amp;($D$3+2*7+0),LeaveType,"AL")&gt;0,"AL",IF(COUNTIFS(LeaveName,'設定'!$B$8,LeaveDate,"="&amp;($D$3+2*7+0),LeaveType,"SL")&gt;0,"SL",IF('設定'!$B$8="","",IF('設定'!$C$8="S","S",IF('設定'!$C$8="R",IF(MOD(INT((($D$3+2*7+0-WEEKDAY($D$3+2*7+0,2)+1)-'設定'!$B$4)/7)+IF('設定'!$D$8="",0,'設定'!$D$8),16)&lt;4,"A",IF(MOD(INT((($D$3+2*7+0-WEEKDAY($D$3+2*7+0,2)+1)-'設定'!$B$4)/7)+IF('設定'!$D$8="",0,'設定'!$D$8),16)&lt;8,"P",IF(MOD(INT((($D$3+2*7+0-WEEKDAY($D$3+2*7+0,2)+1)-'設定'!$B$4)/7)+IF('設定'!$D$8="",0,'設定'!$D$8),16)&lt;12,"N","P"))),""))))))</f>
        <v/>
      </c>
      <c r="B24" s="44">
        <f>IF(OR(B22="",'設定'!$B$8=""),"",IF(COUNTIFS(LeaveName,'設定'!$B$8,LeaveDate,"="&amp;($D$3+2*7+1),LeaveType,"AL")&gt;0,"AL",IF(COUNTIFS(LeaveName,'設定'!$B$8,LeaveDate,"="&amp;($D$3+2*7+1),LeaveType,"SL")&gt;0,"SL",IF('設定'!$B$8="","",IF('設定'!$C$8="S","S",IF('設定'!$C$8="R",IF(MOD(INT((($D$3+2*7+1-WEEKDAY($D$3+2*7+1,2)+1)-'設定'!$B$4)/7)+IF('設定'!$D$8="",0,'設定'!$D$8),16)&lt;4,"A",IF(MOD(INT((($D$3+2*7+1-WEEKDAY($D$3+2*7+1,2)+1)-'設定'!$B$4)/7)+IF('設定'!$D$8="",0,'設定'!$D$8),16)&lt;8,"P",IF(MOD(INT((($D$3+2*7+1-WEEKDAY($D$3+2*7+1,2)+1)-'設定'!$B$4)/7)+IF('設定'!$D$8="",0,'設定'!$D$8),16)&lt;12,"N","P"))),""))))))</f>
        <v/>
      </c>
      <c r="C24" s="44">
        <f>IF(OR(C22="",'設定'!$B$8=""),"",IF(COUNTIFS(LeaveName,'設定'!$B$8,LeaveDate,"="&amp;($D$3+2*7+2),LeaveType,"AL")&gt;0,"AL",IF(COUNTIFS(LeaveName,'設定'!$B$8,LeaveDate,"="&amp;($D$3+2*7+2),LeaveType,"SL")&gt;0,"SL",IF('設定'!$B$8="","",IF('設定'!$C$8="S","S",IF('設定'!$C$8="R",IF(MOD(INT((($D$3+2*7+2-WEEKDAY($D$3+2*7+2,2)+1)-'設定'!$B$4)/7)+IF('設定'!$D$8="",0,'設定'!$D$8),16)&lt;4,"A",IF(MOD(INT((($D$3+2*7+2-WEEKDAY($D$3+2*7+2,2)+1)-'設定'!$B$4)/7)+IF('設定'!$D$8="",0,'設定'!$D$8),16)&lt;8,"P",IF(MOD(INT((($D$3+2*7+2-WEEKDAY($D$3+2*7+2,2)+1)-'設定'!$B$4)/7)+IF('設定'!$D$8="",0,'設定'!$D$8),16)&lt;12,"N","P"))),""))))))</f>
        <v/>
      </c>
      <c r="D24" s="44">
        <f>IF(OR(D22="",'設定'!$B$8=""),"",IF(COUNTIFS(LeaveName,'設定'!$B$8,LeaveDate,"="&amp;($D$3+2*7+3),LeaveType,"AL")&gt;0,"AL",IF(COUNTIFS(LeaveName,'設定'!$B$8,LeaveDate,"="&amp;($D$3+2*7+3),LeaveType,"SL")&gt;0,"SL",IF('設定'!$B$8="","",IF('設定'!$C$8="S","S",IF('設定'!$C$8="R",IF(MOD(INT((($D$3+2*7+3-WEEKDAY($D$3+2*7+3,2)+1)-'設定'!$B$4)/7)+IF('設定'!$D$8="",0,'設定'!$D$8),16)&lt;4,"A",IF(MOD(INT((($D$3+2*7+3-WEEKDAY($D$3+2*7+3,2)+1)-'設定'!$B$4)/7)+IF('設定'!$D$8="",0,'設定'!$D$8),16)&lt;8,"P",IF(MOD(INT((($D$3+2*7+3-WEEKDAY($D$3+2*7+3,2)+1)-'設定'!$B$4)/7)+IF('設定'!$D$8="",0,'設定'!$D$8),16)&lt;12,"N","P"))),""))))))</f>
        <v/>
      </c>
      <c r="E24" s="44">
        <f>IF(OR(E22="",'設定'!$B$8=""),"",IF(COUNTIFS(LeaveName,'設定'!$B$8,LeaveDate,"="&amp;($D$3+2*7+4),LeaveType,"AL")&gt;0,"AL",IF(COUNTIFS(LeaveName,'設定'!$B$8,LeaveDate,"="&amp;($D$3+2*7+4),LeaveType,"SL")&gt;0,"SL",IF('設定'!$B$8="","",IF('設定'!$C$8="S","S",IF('設定'!$C$8="R",IF(MOD(INT((($D$3+2*7+4-WEEKDAY($D$3+2*7+4,2)+1)-'設定'!$B$4)/7)+IF('設定'!$D$8="",0,'設定'!$D$8),16)&lt;4,"A",IF(MOD(INT((($D$3+2*7+4-WEEKDAY($D$3+2*7+4,2)+1)-'設定'!$B$4)/7)+IF('設定'!$D$8="",0,'設定'!$D$8),16)&lt;8,"P",IF(MOD(INT((($D$3+2*7+4-WEEKDAY($D$3+2*7+4,2)+1)-'設定'!$B$4)/7)+IF('設定'!$D$8="",0,'設定'!$D$8),16)&lt;12,"N","P"))),""))))))</f>
        <v/>
      </c>
      <c r="F24" s="44">
        <f>IF(OR(F22="",'設定'!$B$8=""),"",IF(COUNTIFS(LeaveName,'設定'!$B$8,LeaveDate,"="&amp;($D$3+2*7+5),LeaveType,"AL")&gt;0,"AL",IF(COUNTIFS(LeaveName,'設定'!$B$8,LeaveDate,"="&amp;($D$3+2*7+5),LeaveType,"SL")&gt;0,"SL",IF('設定'!$B$8="","",IF('設定'!$C$8="S","S",IF('設定'!$C$8="R",IF(MOD(INT((($D$3+2*7+5-WEEKDAY($D$3+2*7+5,2)+1)-'設定'!$B$4)/7)+IF('設定'!$D$8="",0,'設定'!$D$8),16)&lt;4,"A",IF(MOD(INT((($D$3+2*7+5-WEEKDAY($D$3+2*7+5,2)+1)-'設定'!$B$4)/7)+IF('設定'!$D$8="",0,'設定'!$D$8),16)&lt;8,"P",IF(MOD(INT((($D$3+2*7+5-WEEKDAY($D$3+2*7+5,2)+1)-'設定'!$B$4)/7)+IF('設定'!$D$8="",0,'設定'!$D$8),16)&lt;12,"N","P"))),""))))))</f>
        <v/>
      </c>
      <c r="G24" s="44">
        <f>IF(OR(G22="",'設定'!$B$8=""),"",IF(COUNTIFS(LeaveName,'設定'!$B$8,LeaveDate,"="&amp;($D$3+2*7+6),LeaveType,"AL")&gt;0,"AL",IF(COUNTIFS(LeaveName,'設定'!$B$8,LeaveDate,"="&amp;($D$3+2*7+6),LeaveType,"SL")&gt;0,"SL",IF('設定'!$B$8="","",IF('設定'!$C$8="S","S",IF('設定'!$C$8="R",IF(MOD(INT((($D$3+2*7+6-WEEKDAY($D$3+2*7+6,2)+1)-'設定'!$B$4)/7)+IF('設定'!$D$8="",0,'設定'!$D$8),16)&lt;4,"A",IF(MOD(INT((($D$3+2*7+6-WEEKDAY($D$3+2*7+6,2)+1)-'設定'!$B$4)/7)+IF('設定'!$D$8="",0,'設定'!$D$8),16)&lt;8,"P",IF(MOD(INT((($D$3+2*7+6-WEEKDAY($D$3+2*7+6,2)+1)-'設定'!$B$4)/7)+IF('設定'!$D$8="",0,'設定'!$D$8),16)&lt;12,"N","P"))),""))))))</f>
        <v/>
      </c>
      <c r="I24" s="45">
        <f>'設定'!B8</f>
        <v/>
      </c>
    </row>
    <row r="25">
      <c r="A25" s="44">
        <f>IF(OR(A22="",'設定'!$B$9=""),"",IF(COUNTIFS(LeaveName,'設定'!$B$9,LeaveDate,"="&amp;($D$3+2*7+0),LeaveType,"AL")&gt;0,"AL",IF(COUNTIFS(LeaveName,'設定'!$B$9,LeaveDate,"="&amp;($D$3+2*7+0),LeaveType,"SL")&gt;0,"SL",IF('設定'!$B$9="","",IF('設定'!$C$9="S","S",IF('設定'!$C$9="R",IF(MOD(INT((($D$3+2*7+0-WEEKDAY($D$3+2*7+0,2)+1)-'設定'!$B$4)/7)+IF('設定'!$D$9="",0,'設定'!$D$9),16)&lt;4,"A",IF(MOD(INT((($D$3+2*7+0-WEEKDAY($D$3+2*7+0,2)+1)-'設定'!$B$4)/7)+IF('設定'!$D$9="",0,'設定'!$D$9),16)&lt;8,"P",IF(MOD(INT((($D$3+2*7+0-WEEKDAY($D$3+2*7+0,2)+1)-'設定'!$B$4)/7)+IF('設定'!$D$9="",0,'設定'!$D$9),16)&lt;12,"N","P"))),""))))))</f>
        <v/>
      </c>
      <c r="B25" s="44">
        <f>IF(OR(B22="",'設定'!$B$9=""),"",IF(COUNTIFS(LeaveName,'設定'!$B$9,LeaveDate,"="&amp;($D$3+2*7+1),LeaveType,"AL")&gt;0,"AL",IF(COUNTIFS(LeaveName,'設定'!$B$9,LeaveDate,"="&amp;($D$3+2*7+1),LeaveType,"SL")&gt;0,"SL",IF('設定'!$B$9="","",IF('設定'!$C$9="S","S",IF('設定'!$C$9="R",IF(MOD(INT((($D$3+2*7+1-WEEKDAY($D$3+2*7+1,2)+1)-'設定'!$B$4)/7)+IF('設定'!$D$9="",0,'設定'!$D$9),16)&lt;4,"A",IF(MOD(INT((($D$3+2*7+1-WEEKDAY($D$3+2*7+1,2)+1)-'設定'!$B$4)/7)+IF('設定'!$D$9="",0,'設定'!$D$9),16)&lt;8,"P",IF(MOD(INT((($D$3+2*7+1-WEEKDAY($D$3+2*7+1,2)+1)-'設定'!$B$4)/7)+IF('設定'!$D$9="",0,'設定'!$D$9),16)&lt;12,"N","P"))),""))))))</f>
        <v/>
      </c>
      <c r="C25" s="44">
        <f>IF(OR(C22="",'設定'!$B$9=""),"",IF(COUNTIFS(LeaveName,'設定'!$B$9,LeaveDate,"="&amp;($D$3+2*7+2),LeaveType,"AL")&gt;0,"AL",IF(COUNTIFS(LeaveName,'設定'!$B$9,LeaveDate,"="&amp;($D$3+2*7+2),LeaveType,"SL")&gt;0,"SL",IF('設定'!$B$9="","",IF('設定'!$C$9="S","S",IF('設定'!$C$9="R",IF(MOD(INT((($D$3+2*7+2-WEEKDAY($D$3+2*7+2,2)+1)-'設定'!$B$4)/7)+IF('設定'!$D$9="",0,'設定'!$D$9),16)&lt;4,"A",IF(MOD(INT((($D$3+2*7+2-WEEKDAY($D$3+2*7+2,2)+1)-'設定'!$B$4)/7)+IF('設定'!$D$9="",0,'設定'!$D$9),16)&lt;8,"P",IF(MOD(INT((($D$3+2*7+2-WEEKDAY($D$3+2*7+2,2)+1)-'設定'!$B$4)/7)+IF('設定'!$D$9="",0,'設定'!$D$9),16)&lt;12,"N","P"))),""))))))</f>
        <v/>
      </c>
      <c r="D25" s="44">
        <f>IF(OR(D22="",'設定'!$B$9=""),"",IF(COUNTIFS(LeaveName,'設定'!$B$9,LeaveDate,"="&amp;($D$3+2*7+3),LeaveType,"AL")&gt;0,"AL",IF(COUNTIFS(LeaveName,'設定'!$B$9,LeaveDate,"="&amp;($D$3+2*7+3),LeaveType,"SL")&gt;0,"SL",IF('設定'!$B$9="","",IF('設定'!$C$9="S","S",IF('設定'!$C$9="R",IF(MOD(INT((($D$3+2*7+3-WEEKDAY($D$3+2*7+3,2)+1)-'設定'!$B$4)/7)+IF('設定'!$D$9="",0,'設定'!$D$9),16)&lt;4,"A",IF(MOD(INT((($D$3+2*7+3-WEEKDAY($D$3+2*7+3,2)+1)-'設定'!$B$4)/7)+IF('設定'!$D$9="",0,'設定'!$D$9),16)&lt;8,"P",IF(MOD(INT((($D$3+2*7+3-WEEKDAY($D$3+2*7+3,2)+1)-'設定'!$B$4)/7)+IF('設定'!$D$9="",0,'設定'!$D$9),16)&lt;12,"N","P"))),""))))))</f>
        <v/>
      </c>
      <c r="E25" s="44">
        <f>IF(OR(E22="",'設定'!$B$9=""),"",IF(COUNTIFS(LeaveName,'設定'!$B$9,LeaveDate,"="&amp;($D$3+2*7+4),LeaveType,"AL")&gt;0,"AL",IF(COUNTIFS(LeaveName,'設定'!$B$9,LeaveDate,"="&amp;($D$3+2*7+4),LeaveType,"SL")&gt;0,"SL",IF('設定'!$B$9="","",IF('設定'!$C$9="S","S",IF('設定'!$C$9="R",IF(MOD(INT((($D$3+2*7+4-WEEKDAY($D$3+2*7+4,2)+1)-'設定'!$B$4)/7)+IF('設定'!$D$9="",0,'設定'!$D$9),16)&lt;4,"A",IF(MOD(INT((($D$3+2*7+4-WEEKDAY($D$3+2*7+4,2)+1)-'設定'!$B$4)/7)+IF('設定'!$D$9="",0,'設定'!$D$9),16)&lt;8,"P",IF(MOD(INT((($D$3+2*7+4-WEEKDAY($D$3+2*7+4,2)+1)-'設定'!$B$4)/7)+IF('設定'!$D$9="",0,'設定'!$D$9),16)&lt;12,"N","P"))),""))))))</f>
        <v/>
      </c>
      <c r="F25" s="44">
        <f>IF(OR(F22="",'設定'!$B$9=""),"",IF(COUNTIFS(LeaveName,'設定'!$B$9,LeaveDate,"="&amp;($D$3+2*7+5),LeaveType,"AL")&gt;0,"AL",IF(COUNTIFS(LeaveName,'設定'!$B$9,LeaveDate,"="&amp;($D$3+2*7+5),LeaveType,"SL")&gt;0,"SL",IF('設定'!$B$9="","",IF('設定'!$C$9="S","S",IF('設定'!$C$9="R",IF(MOD(INT((($D$3+2*7+5-WEEKDAY($D$3+2*7+5,2)+1)-'設定'!$B$4)/7)+IF('設定'!$D$9="",0,'設定'!$D$9),16)&lt;4,"A",IF(MOD(INT((($D$3+2*7+5-WEEKDAY($D$3+2*7+5,2)+1)-'設定'!$B$4)/7)+IF('設定'!$D$9="",0,'設定'!$D$9),16)&lt;8,"P",IF(MOD(INT((($D$3+2*7+5-WEEKDAY($D$3+2*7+5,2)+1)-'設定'!$B$4)/7)+IF('設定'!$D$9="",0,'設定'!$D$9),16)&lt;12,"N","P"))),""))))))</f>
        <v/>
      </c>
      <c r="G25" s="44">
        <f>IF(OR(G22="",'設定'!$B$9=""),"",IF(COUNTIFS(LeaveName,'設定'!$B$9,LeaveDate,"="&amp;($D$3+2*7+6),LeaveType,"AL")&gt;0,"AL",IF(COUNTIFS(LeaveName,'設定'!$B$9,LeaveDate,"="&amp;($D$3+2*7+6),LeaveType,"SL")&gt;0,"SL",IF('設定'!$B$9="","",IF('設定'!$C$9="S","S",IF('設定'!$C$9="R",IF(MOD(INT((($D$3+2*7+6-WEEKDAY($D$3+2*7+6,2)+1)-'設定'!$B$4)/7)+IF('設定'!$D$9="",0,'設定'!$D$9),16)&lt;4,"A",IF(MOD(INT((($D$3+2*7+6-WEEKDAY($D$3+2*7+6,2)+1)-'設定'!$B$4)/7)+IF('設定'!$D$9="",0,'設定'!$D$9),16)&lt;8,"P",IF(MOD(INT((($D$3+2*7+6-WEEKDAY($D$3+2*7+6,2)+1)-'設定'!$B$4)/7)+IF('設定'!$D$9="",0,'設定'!$D$9),16)&lt;12,"N","P"))),""))))))</f>
        <v/>
      </c>
      <c r="I25" s="45">
        <f>'設定'!B9</f>
        <v/>
      </c>
    </row>
    <row r="26">
      <c r="A26" s="44">
        <f>IF(OR(A22="",'設定'!$B$10=""),"",IF(COUNTIFS(LeaveName,'設定'!$B$10,LeaveDate,"="&amp;($D$3+2*7+0),LeaveType,"AL")&gt;0,"AL",IF(COUNTIFS(LeaveName,'設定'!$B$10,LeaveDate,"="&amp;($D$3+2*7+0),LeaveType,"SL")&gt;0,"SL",IF('設定'!$B$10="","",IF('設定'!$C$10="S","S",IF('設定'!$C$10="R",IF(MOD(INT((($D$3+2*7+0-WEEKDAY($D$3+2*7+0,2)+1)-'設定'!$B$4)/7)+IF('設定'!$D$10="",0,'設定'!$D$10),16)&lt;4,"A",IF(MOD(INT((($D$3+2*7+0-WEEKDAY($D$3+2*7+0,2)+1)-'設定'!$B$4)/7)+IF('設定'!$D$10="",0,'設定'!$D$10),16)&lt;8,"P",IF(MOD(INT((($D$3+2*7+0-WEEKDAY($D$3+2*7+0,2)+1)-'設定'!$B$4)/7)+IF('設定'!$D$10="",0,'設定'!$D$10),16)&lt;12,"N","P"))),""))))))</f>
        <v/>
      </c>
      <c r="B26" s="44">
        <f>IF(OR(B22="",'設定'!$B$10=""),"",IF(COUNTIFS(LeaveName,'設定'!$B$10,LeaveDate,"="&amp;($D$3+2*7+1),LeaveType,"AL")&gt;0,"AL",IF(COUNTIFS(LeaveName,'設定'!$B$10,LeaveDate,"="&amp;($D$3+2*7+1),LeaveType,"SL")&gt;0,"SL",IF('設定'!$B$10="","",IF('設定'!$C$10="S","S",IF('設定'!$C$10="R",IF(MOD(INT((($D$3+2*7+1-WEEKDAY($D$3+2*7+1,2)+1)-'設定'!$B$4)/7)+IF('設定'!$D$10="",0,'設定'!$D$10),16)&lt;4,"A",IF(MOD(INT((($D$3+2*7+1-WEEKDAY($D$3+2*7+1,2)+1)-'設定'!$B$4)/7)+IF('設定'!$D$10="",0,'設定'!$D$10),16)&lt;8,"P",IF(MOD(INT((($D$3+2*7+1-WEEKDAY($D$3+2*7+1,2)+1)-'設定'!$B$4)/7)+IF('設定'!$D$10="",0,'設定'!$D$10),16)&lt;12,"N","P"))),""))))))</f>
        <v/>
      </c>
      <c r="C26" s="44">
        <f>IF(OR(C22="",'設定'!$B$10=""),"",IF(COUNTIFS(LeaveName,'設定'!$B$10,LeaveDate,"="&amp;($D$3+2*7+2),LeaveType,"AL")&gt;0,"AL",IF(COUNTIFS(LeaveName,'設定'!$B$10,LeaveDate,"="&amp;($D$3+2*7+2),LeaveType,"SL")&gt;0,"SL",IF('設定'!$B$10="","",IF('設定'!$C$10="S","S",IF('設定'!$C$10="R",IF(MOD(INT((($D$3+2*7+2-WEEKDAY($D$3+2*7+2,2)+1)-'設定'!$B$4)/7)+IF('設定'!$D$10="",0,'設定'!$D$10),16)&lt;4,"A",IF(MOD(INT((($D$3+2*7+2-WEEKDAY($D$3+2*7+2,2)+1)-'設定'!$B$4)/7)+IF('設定'!$D$10="",0,'設定'!$D$10),16)&lt;8,"P",IF(MOD(INT((($D$3+2*7+2-WEEKDAY($D$3+2*7+2,2)+1)-'設定'!$B$4)/7)+IF('設定'!$D$10="",0,'設定'!$D$10),16)&lt;12,"N","P"))),""))))))</f>
        <v/>
      </c>
      <c r="D26" s="44">
        <f>IF(OR(D22="",'設定'!$B$10=""),"",IF(COUNTIFS(LeaveName,'設定'!$B$10,LeaveDate,"="&amp;($D$3+2*7+3),LeaveType,"AL")&gt;0,"AL",IF(COUNTIFS(LeaveName,'設定'!$B$10,LeaveDate,"="&amp;($D$3+2*7+3),LeaveType,"SL")&gt;0,"SL",IF('設定'!$B$10="","",IF('設定'!$C$10="S","S",IF('設定'!$C$10="R",IF(MOD(INT((($D$3+2*7+3-WEEKDAY($D$3+2*7+3,2)+1)-'設定'!$B$4)/7)+IF('設定'!$D$10="",0,'設定'!$D$10),16)&lt;4,"A",IF(MOD(INT((($D$3+2*7+3-WEEKDAY($D$3+2*7+3,2)+1)-'設定'!$B$4)/7)+IF('設定'!$D$10="",0,'設定'!$D$10),16)&lt;8,"P",IF(MOD(INT((($D$3+2*7+3-WEEKDAY($D$3+2*7+3,2)+1)-'設定'!$B$4)/7)+IF('設定'!$D$10="",0,'設定'!$D$10),16)&lt;12,"N","P"))),""))))))</f>
        <v/>
      </c>
      <c r="E26" s="44">
        <f>IF(OR(E22="",'設定'!$B$10=""),"",IF(COUNTIFS(LeaveName,'設定'!$B$10,LeaveDate,"="&amp;($D$3+2*7+4),LeaveType,"AL")&gt;0,"AL",IF(COUNTIFS(LeaveName,'設定'!$B$10,LeaveDate,"="&amp;($D$3+2*7+4),LeaveType,"SL")&gt;0,"SL",IF('設定'!$B$10="","",IF('設定'!$C$10="S","S",IF('設定'!$C$10="R",IF(MOD(INT((($D$3+2*7+4-WEEKDAY($D$3+2*7+4,2)+1)-'設定'!$B$4)/7)+IF('設定'!$D$10="",0,'設定'!$D$10),16)&lt;4,"A",IF(MOD(INT((($D$3+2*7+4-WEEKDAY($D$3+2*7+4,2)+1)-'設定'!$B$4)/7)+IF('設定'!$D$10="",0,'設定'!$D$10),16)&lt;8,"P",IF(MOD(INT((($D$3+2*7+4-WEEKDAY($D$3+2*7+4,2)+1)-'設定'!$B$4)/7)+IF('設定'!$D$10="",0,'設定'!$D$10),16)&lt;12,"N","P"))),""))))))</f>
        <v/>
      </c>
      <c r="F26" s="44">
        <f>IF(OR(F22="",'設定'!$B$10=""),"",IF(COUNTIFS(LeaveName,'設定'!$B$10,LeaveDate,"="&amp;($D$3+2*7+5),LeaveType,"AL")&gt;0,"AL",IF(COUNTIFS(LeaveName,'設定'!$B$10,LeaveDate,"="&amp;($D$3+2*7+5),LeaveType,"SL")&gt;0,"SL",IF('設定'!$B$10="","",IF('設定'!$C$10="S","S",IF('設定'!$C$10="R",IF(MOD(INT((($D$3+2*7+5-WEEKDAY($D$3+2*7+5,2)+1)-'設定'!$B$4)/7)+IF('設定'!$D$10="",0,'設定'!$D$10),16)&lt;4,"A",IF(MOD(INT((($D$3+2*7+5-WEEKDAY($D$3+2*7+5,2)+1)-'設定'!$B$4)/7)+IF('設定'!$D$10="",0,'設定'!$D$10),16)&lt;8,"P",IF(MOD(INT((($D$3+2*7+5-WEEKDAY($D$3+2*7+5,2)+1)-'設定'!$B$4)/7)+IF('設定'!$D$10="",0,'設定'!$D$10),16)&lt;12,"N","P"))),""))))))</f>
        <v/>
      </c>
      <c r="G26" s="44">
        <f>IF(OR(G22="",'設定'!$B$10=""),"",IF(COUNTIFS(LeaveName,'設定'!$B$10,LeaveDate,"="&amp;($D$3+2*7+6),LeaveType,"AL")&gt;0,"AL",IF(COUNTIFS(LeaveName,'設定'!$B$10,LeaveDate,"="&amp;($D$3+2*7+6),LeaveType,"SL")&gt;0,"SL",IF('設定'!$B$10="","",IF('設定'!$C$10="S","S",IF('設定'!$C$10="R",IF(MOD(INT((($D$3+2*7+6-WEEKDAY($D$3+2*7+6,2)+1)-'設定'!$B$4)/7)+IF('設定'!$D$10="",0,'設定'!$D$10),16)&lt;4,"A",IF(MOD(INT((($D$3+2*7+6-WEEKDAY($D$3+2*7+6,2)+1)-'設定'!$B$4)/7)+IF('設定'!$D$10="",0,'設定'!$D$10),16)&lt;8,"P",IF(MOD(INT((($D$3+2*7+6-WEEKDAY($D$3+2*7+6,2)+1)-'設定'!$B$4)/7)+IF('設定'!$D$10="",0,'設定'!$D$10),16)&lt;12,"N","P"))),""))))))</f>
        <v/>
      </c>
      <c r="I26" s="45">
        <f>'設定'!B10</f>
        <v/>
      </c>
    </row>
    <row r="27">
      <c r="A27" s="44">
        <f>IF(OR(A22="",'設定'!$B$11=""),"",IF(COUNTIFS(LeaveName,'設定'!$B$11,LeaveDate,"="&amp;($D$3+2*7+0),LeaveType,"AL")&gt;0,"AL",IF(COUNTIFS(LeaveName,'設定'!$B$11,LeaveDate,"="&amp;($D$3+2*7+0),LeaveType,"SL")&gt;0,"SL",IF('設定'!$B$11="","",IF('設定'!$C$11="S","S",IF('設定'!$C$11="R",IF(MOD(INT((($D$3+2*7+0-WEEKDAY($D$3+2*7+0,2)+1)-'設定'!$B$4)/7)+IF('設定'!$D$11="",0,'設定'!$D$11),16)&lt;4,"A",IF(MOD(INT((($D$3+2*7+0-WEEKDAY($D$3+2*7+0,2)+1)-'設定'!$B$4)/7)+IF('設定'!$D$11="",0,'設定'!$D$11),16)&lt;8,"P",IF(MOD(INT((($D$3+2*7+0-WEEKDAY($D$3+2*7+0,2)+1)-'設定'!$B$4)/7)+IF('設定'!$D$11="",0,'設定'!$D$11),16)&lt;12,"N","P"))),""))))))</f>
        <v/>
      </c>
      <c r="B27" s="44">
        <f>IF(OR(B22="",'設定'!$B$11=""),"",IF(COUNTIFS(LeaveName,'設定'!$B$11,LeaveDate,"="&amp;($D$3+2*7+1),LeaveType,"AL")&gt;0,"AL",IF(COUNTIFS(LeaveName,'設定'!$B$11,LeaveDate,"="&amp;($D$3+2*7+1),LeaveType,"SL")&gt;0,"SL",IF('設定'!$B$11="","",IF('設定'!$C$11="S","S",IF('設定'!$C$11="R",IF(MOD(INT((($D$3+2*7+1-WEEKDAY($D$3+2*7+1,2)+1)-'設定'!$B$4)/7)+IF('設定'!$D$11="",0,'設定'!$D$11),16)&lt;4,"A",IF(MOD(INT((($D$3+2*7+1-WEEKDAY($D$3+2*7+1,2)+1)-'設定'!$B$4)/7)+IF('設定'!$D$11="",0,'設定'!$D$11),16)&lt;8,"P",IF(MOD(INT((($D$3+2*7+1-WEEKDAY($D$3+2*7+1,2)+1)-'設定'!$B$4)/7)+IF('設定'!$D$11="",0,'設定'!$D$11),16)&lt;12,"N","P"))),""))))))</f>
        <v/>
      </c>
      <c r="C27" s="44">
        <f>IF(OR(C22="",'設定'!$B$11=""),"",IF(COUNTIFS(LeaveName,'設定'!$B$11,LeaveDate,"="&amp;($D$3+2*7+2),LeaveType,"AL")&gt;0,"AL",IF(COUNTIFS(LeaveName,'設定'!$B$11,LeaveDate,"="&amp;($D$3+2*7+2),LeaveType,"SL")&gt;0,"SL",IF('設定'!$B$11="","",IF('設定'!$C$11="S","S",IF('設定'!$C$11="R",IF(MOD(INT((($D$3+2*7+2-WEEKDAY($D$3+2*7+2,2)+1)-'設定'!$B$4)/7)+IF('設定'!$D$11="",0,'設定'!$D$11),16)&lt;4,"A",IF(MOD(INT((($D$3+2*7+2-WEEKDAY($D$3+2*7+2,2)+1)-'設定'!$B$4)/7)+IF('設定'!$D$11="",0,'設定'!$D$11),16)&lt;8,"P",IF(MOD(INT((($D$3+2*7+2-WEEKDAY($D$3+2*7+2,2)+1)-'設定'!$B$4)/7)+IF('設定'!$D$11="",0,'設定'!$D$11),16)&lt;12,"N","P"))),""))))))</f>
        <v/>
      </c>
      <c r="D27" s="44">
        <f>IF(OR(D22="",'設定'!$B$11=""),"",IF(COUNTIFS(LeaveName,'設定'!$B$11,LeaveDate,"="&amp;($D$3+2*7+3),LeaveType,"AL")&gt;0,"AL",IF(COUNTIFS(LeaveName,'設定'!$B$11,LeaveDate,"="&amp;($D$3+2*7+3),LeaveType,"SL")&gt;0,"SL",IF('設定'!$B$11="","",IF('設定'!$C$11="S","S",IF('設定'!$C$11="R",IF(MOD(INT((($D$3+2*7+3-WEEKDAY($D$3+2*7+3,2)+1)-'設定'!$B$4)/7)+IF('設定'!$D$11="",0,'設定'!$D$11),16)&lt;4,"A",IF(MOD(INT((($D$3+2*7+3-WEEKDAY($D$3+2*7+3,2)+1)-'設定'!$B$4)/7)+IF('設定'!$D$11="",0,'設定'!$D$11),16)&lt;8,"P",IF(MOD(INT((($D$3+2*7+3-WEEKDAY($D$3+2*7+3,2)+1)-'設定'!$B$4)/7)+IF('設定'!$D$11="",0,'設定'!$D$11),16)&lt;12,"N","P"))),""))))))</f>
        <v/>
      </c>
      <c r="E27" s="44">
        <f>IF(OR(E22="",'設定'!$B$11=""),"",IF(COUNTIFS(LeaveName,'設定'!$B$11,LeaveDate,"="&amp;($D$3+2*7+4),LeaveType,"AL")&gt;0,"AL",IF(COUNTIFS(LeaveName,'設定'!$B$11,LeaveDate,"="&amp;($D$3+2*7+4),LeaveType,"SL")&gt;0,"SL",IF('設定'!$B$11="","",IF('設定'!$C$11="S","S",IF('設定'!$C$11="R",IF(MOD(INT((($D$3+2*7+4-WEEKDAY($D$3+2*7+4,2)+1)-'設定'!$B$4)/7)+IF('設定'!$D$11="",0,'設定'!$D$11),16)&lt;4,"A",IF(MOD(INT((($D$3+2*7+4-WEEKDAY($D$3+2*7+4,2)+1)-'設定'!$B$4)/7)+IF('設定'!$D$11="",0,'設定'!$D$11),16)&lt;8,"P",IF(MOD(INT((($D$3+2*7+4-WEEKDAY($D$3+2*7+4,2)+1)-'設定'!$B$4)/7)+IF('設定'!$D$11="",0,'設定'!$D$11),16)&lt;12,"N","P"))),""))))))</f>
        <v/>
      </c>
      <c r="F27" s="44">
        <f>IF(OR(F22="",'設定'!$B$11=""),"",IF(COUNTIFS(LeaveName,'設定'!$B$11,LeaveDate,"="&amp;($D$3+2*7+5),LeaveType,"AL")&gt;0,"AL",IF(COUNTIFS(LeaveName,'設定'!$B$11,LeaveDate,"="&amp;($D$3+2*7+5),LeaveType,"SL")&gt;0,"SL",IF('設定'!$B$11="","",IF('設定'!$C$11="S","S",IF('設定'!$C$11="R",IF(MOD(INT((($D$3+2*7+5-WEEKDAY($D$3+2*7+5,2)+1)-'設定'!$B$4)/7)+IF('設定'!$D$11="",0,'設定'!$D$11),16)&lt;4,"A",IF(MOD(INT((($D$3+2*7+5-WEEKDAY($D$3+2*7+5,2)+1)-'設定'!$B$4)/7)+IF('設定'!$D$11="",0,'設定'!$D$11),16)&lt;8,"P",IF(MOD(INT((($D$3+2*7+5-WEEKDAY($D$3+2*7+5,2)+1)-'設定'!$B$4)/7)+IF('設定'!$D$11="",0,'設定'!$D$11),16)&lt;12,"N","P"))),""))))))</f>
        <v/>
      </c>
      <c r="G27" s="44">
        <f>IF(OR(G22="",'設定'!$B$11=""),"",IF(COUNTIFS(LeaveName,'設定'!$B$11,LeaveDate,"="&amp;($D$3+2*7+6),LeaveType,"AL")&gt;0,"AL",IF(COUNTIFS(LeaveName,'設定'!$B$11,LeaveDate,"="&amp;($D$3+2*7+6),LeaveType,"SL")&gt;0,"SL",IF('設定'!$B$11="","",IF('設定'!$C$11="S","S",IF('設定'!$C$11="R",IF(MOD(INT((($D$3+2*7+6-WEEKDAY($D$3+2*7+6,2)+1)-'設定'!$B$4)/7)+IF('設定'!$D$11="",0,'設定'!$D$11),16)&lt;4,"A",IF(MOD(INT((($D$3+2*7+6-WEEKDAY($D$3+2*7+6,2)+1)-'設定'!$B$4)/7)+IF('設定'!$D$11="",0,'設定'!$D$11),16)&lt;8,"P",IF(MOD(INT((($D$3+2*7+6-WEEKDAY($D$3+2*7+6,2)+1)-'設定'!$B$4)/7)+IF('設定'!$D$11="",0,'設定'!$D$11),16)&lt;12,"N","P"))),""))))))</f>
        <v/>
      </c>
      <c r="I27" s="45">
        <f>'設定'!B11</f>
        <v/>
      </c>
    </row>
    <row r="28">
      <c r="A28" s="44">
        <f>IF(OR(A22="",'設定'!$B$12=""),"",IF(COUNTIFS(LeaveName,'設定'!$B$12,LeaveDate,"="&amp;($D$3+2*7+0),LeaveType,"AL")&gt;0,"AL",IF(COUNTIFS(LeaveName,'設定'!$B$12,LeaveDate,"="&amp;($D$3+2*7+0),LeaveType,"SL")&gt;0,"SL",IF('設定'!$B$12="","",IF('設定'!$C$12="S","S",IF('設定'!$C$12="R",IF(MOD(INT((($D$3+2*7+0-WEEKDAY($D$3+2*7+0,2)+1)-'設定'!$B$4)/7)+IF('設定'!$D$12="",0,'設定'!$D$12),16)&lt;4,"A",IF(MOD(INT((($D$3+2*7+0-WEEKDAY($D$3+2*7+0,2)+1)-'設定'!$B$4)/7)+IF('設定'!$D$12="",0,'設定'!$D$12),16)&lt;8,"P",IF(MOD(INT((($D$3+2*7+0-WEEKDAY($D$3+2*7+0,2)+1)-'設定'!$B$4)/7)+IF('設定'!$D$12="",0,'設定'!$D$12),16)&lt;12,"N","P"))),""))))))</f>
        <v/>
      </c>
      <c r="B28" s="44">
        <f>IF(OR(B22="",'設定'!$B$12=""),"",IF(COUNTIFS(LeaveName,'設定'!$B$12,LeaveDate,"="&amp;($D$3+2*7+1),LeaveType,"AL")&gt;0,"AL",IF(COUNTIFS(LeaveName,'設定'!$B$12,LeaveDate,"="&amp;($D$3+2*7+1),LeaveType,"SL")&gt;0,"SL",IF('設定'!$B$12="","",IF('設定'!$C$12="S","S",IF('設定'!$C$12="R",IF(MOD(INT((($D$3+2*7+1-WEEKDAY($D$3+2*7+1,2)+1)-'設定'!$B$4)/7)+IF('設定'!$D$12="",0,'設定'!$D$12),16)&lt;4,"A",IF(MOD(INT((($D$3+2*7+1-WEEKDAY($D$3+2*7+1,2)+1)-'設定'!$B$4)/7)+IF('設定'!$D$12="",0,'設定'!$D$12),16)&lt;8,"P",IF(MOD(INT((($D$3+2*7+1-WEEKDAY($D$3+2*7+1,2)+1)-'設定'!$B$4)/7)+IF('設定'!$D$12="",0,'設定'!$D$12),16)&lt;12,"N","P"))),""))))))</f>
        <v/>
      </c>
      <c r="C28" s="44">
        <f>IF(OR(C22="",'設定'!$B$12=""),"",IF(COUNTIFS(LeaveName,'設定'!$B$12,LeaveDate,"="&amp;($D$3+2*7+2),LeaveType,"AL")&gt;0,"AL",IF(COUNTIFS(LeaveName,'設定'!$B$12,LeaveDate,"="&amp;($D$3+2*7+2),LeaveType,"SL")&gt;0,"SL",IF('設定'!$B$12="","",IF('設定'!$C$12="S","S",IF('設定'!$C$12="R",IF(MOD(INT((($D$3+2*7+2-WEEKDAY($D$3+2*7+2,2)+1)-'設定'!$B$4)/7)+IF('設定'!$D$12="",0,'設定'!$D$12),16)&lt;4,"A",IF(MOD(INT((($D$3+2*7+2-WEEKDAY($D$3+2*7+2,2)+1)-'設定'!$B$4)/7)+IF('設定'!$D$12="",0,'設定'!$D$12),16)&lt;8,"P",IF(MOD(INT((($D$3+2*7+2-WEEKDAY($D$3+2*7+2,2)+1)-'設定'!$B$4)/7)+IF('設定'!$D$12="",0,'設定'!$D$12),16)&lt;12,"N","P"))),""))))))</f>
        <v/>
      </c>
      <c r="D28" s="44">
        <f>IF(OR(D22="",'設定'!$B$12=""),"",IF(COUNTIFS(LeaveName,'設定'!$B$12,LeaveDate,"="&amp;($D$3+2*7+3),LeaveType,"AL")&gt;0,"AL",IF(COUNTIFS(LeaveName,'設定'!$B$12,LeaveDate,"="&amp;($D$3+2*7+3),LeaveType,"SL")&gt;0,"SL",IF('設定'!$B$12="","",IF('設定'!$C$12="S","S",IF('設定'!$C$12="R",IF(MOD(INT((($D$3+2*7+3-WEEKDAY($D$3+2*7+3,2)+1)-'設定'!$B$4)/7)+IF('設定'!$D$12="",0,'設定'!$D$12),16)&lt;4,"A",IF(MOD(INT((($D$3+2*7+3-WEEKDAY($D$3+2*7+3,2)+1)-'設定'!$B$4)/7)+IF('設定'!$D$12="",0,'設定'!$D$12),16)&lt;8,"P",IF(MOD(INT((($D$3+2*7+3-WEEKDAY($D$3+2*7+3,2)+1)-'設定'!$B$4)/7)+IF('設定'!$D$12="",0,'設定'!$D$12),16)&lt;12,"N","P"))),""))))))</f>
        <v/>
      </c>
      <c r="E28" s="44">
        <f>IF(OR(E22="",'設定'!$B$12=""),"",IF(COUNTIFS(LeaveName,'設定'!$B$12,LeaveDate,"="&amp;($D$3+2*7+4),LeaveType,"AL")&gt;0,"AL",IF(COUNTIFS(LeaveName,'設定'!$B$12,LeaveDate,"="&amp;($D$3+2*7+4),LeaveType,"SL")&gt;0,"SL",IF('設定'!$B$12="","",IF('設定'!$C$12="S","S",IF('設定'!$C$12="R",IF(MOD(INT((($D$3+2*7+4-WEEKDAY($D$3+2*7+4,2)+1)-'設定'!$B$4)/7)+IF('設定'!$D$12="",0,'設定'!$D$12),16)&lt;4,"A",IF(MOD(INT((($D$3+2*7+4-WEEKDAY($D$3+2*7+4,2)+1)-'設定'!$B$4)/7)+IF('設定'!$D$12="",0,'設定'!$D$12),16)&lt;8,"P",IF(MOD(INT((($D$3+2*7+4-WEEKDAY($D$3+2*7+4,2)+1)-'設定'!$B$4)/7)+IF('設定'!$D$12="",0,'設定'!$D$12),16)&lt;12,"N","P"))),""))))))</f>
        <v/>
      </c>
      <c r="F28" s="44">
        <f>IF(OR(F22="",'設定'!$B$12=""),"",IF(COUNTIFS(LeaveName,'設定'!$B$12,LeaveDate,"="&amp;($D$3+2*7+5),LeaveType,"AL")&gt;0,"AL",IF(COUNTIFS(LeaveName,'設定'!$B$12,LeaveDate,"="&amp;($D$3+2*7+5),LeaveType,"SL")&gt;0,"SL",IF('設定'!$B$12="","",IF('設定'!$C$12="S","S",IF('設定'!$C$12="R",IF(MOD(INT((($D$3+2*7+5-WEEKDAY($D$3+2*7+5,2)+1)-'設定'!$B$4)/7)+IF('設定'!$D$12="",0,'設定'!$D$12),16)&lt;4,"A",IF(MOD(INT((($D$3+2*7+5-WEEKDAY($D$3+2*7+5,2)+1)-'設定'!$B$4)/7)+IF('設定'!$D$12="",0,'設定'!$D$12),16)&lt;8,"P",IF(MOD(INT((($D$3+2*7+5-WEEKDAY($D$3+2*7+5,2)+1)-'設定'!$B$4)/7)+IF('設定'!$D$12="",0,'設定'!$D$12),16)&lt;12,"N","P"))),""))))))</f>
        <v/>
      </c>
      <c r="G28" s="44">
        <f>IF(OR(G22="",'設定'!$B$12=""),"",IF(COUNTIFS(LeaveName,'設定'!$B$12,LeaveDate,"="&amp;($D$3+2*7+6),LeaveType,"AL")&gt;0,"AL",IF(COUNTIFS(LeaveName,'設定'!$B$12,LeaveDate,"="&amp;($D$3+2*7+6),LeaveType,"SL")&gt;0,"SL",IF('設定'!$B$12="","",IF('設定'!$C$12="S","S",IF('設定'!$C$12="R",IF(MOD(INT((($D$3+2*7+6-WEEKDAY($D$3+2*7+6,2)+1)-'設定'!$B$4)/7)+IF('設定'!$D$12="",0,'設定'!$D$12),16)&lt;4,"A",IF(MOD(INT((($D$3+2*7+6-WEEKDAY($D$3+2*7+6,2)+1)-'設定'!$B$4)/7)+IF('設定'!$D$12="",0,'設定'!$D$12),16)&lt;8,"P",IF(MOD(INT((($D$3+2*7+6-WEEKDAY($D$3+2*7+6,2)+1)-'設定'!$B$4)/7)+IF('設定'!$D$12="",0,'設定'!$D$12),16)&lt;12,"N","P"))),""))))))</f>
        <v/>
      </c>
      <c r="I28" s="45">
        <f>'設定'!B12</f>
        <v/>
      </c>
    </row>
    <row r="29">
      <c r="A29" s="44">
        <f>IF(OR(A22="",'設定'!$B$13=""),"",IF(COUNTIFS(LeaveName,'設定'!$B$13,LeaveDate,"="&amp;($D$3+2*7+0),LeaveType,"AL")&gt;0,"AL",IF(COUNTIFS(LeaveName,'設定'!$B$13,LeaveDate,"="&amp;($D$3+2*7+0),LeaveType,"SL")&gt;0,"SL",IF('設定'!$B$13="","",IF('設定'!$C$13="S","S",IF('設定'!$C$13="R",IF(MOD(INT((($D$3+2*7+0-WEEKDAY($D$3+2*7+0,2)+1)-'設定'!$B$4)/7)+IF('設定'!$D$13="",0,'設定'!$D$13),16)&lt;4,"A",IF(MOD(INT((($D$3+2*7+0-WEEKDAY($D$3+2*7+0,2)+1)-'設定'!$B$4)/7)+IF('設定'!$D$13="",0,'設定'!$D$13),16)&lt;8,"P",IF(MOD(INT((($D$3+2*7+0-WEEKDAY($D$3+2*7+0,2)+1)-'設定'!$B$4)/7)+IF('設定'!$D$13="",0,'設定'!$D$13),16)&lt;12,"N","P"))),""))))))</f>
        <v/>
      </c>
      <c r="B29" s="44">
        <f>IF(OR(B22="",'設定'!$B$13=""),"",IF(COUNTIFS(LeaveName,'設定'!$B$13,LeaveDate,"="&amp;($D$3+2*7+1),LeaveType,"AL")&gt;0,"AL",IF(COUNTIFS(LeaveName,'設定'!$B$13,LeaveDate,"="&amp;($D$3+2*7+1),LeaveType,"SL")&gt;0,"SL",IF('設定'!$B$13="","",IF('設定'!$C$13="S","S",IF('設定'!$C$13="R",IF(MOD(INT((($D$3+2*7+1-WEEKDAY($D$3+2*7+1,2)+1)-'設定'!$B$4)/7)+IF('設定'!$D$13="",0,'設定'!$D$13),16)&lt;4,"A",IF(MOD(INT((($D$3+2*7+1-WEEKDAY($D$3+2*7+1,2)+1)-'設定'!$B$4)/7)+IF('設定'!$D$13="",0,'設定'!$D$13),16)&lt;8,"P",IF(MOD(INT((($D$3+2*7+1-WEEKDAY($D$3+2*7+1,2)+1)-'設定'!$B$4)/7)+IF('設定'!$D$13="",0,'設定'!$D$13),16)&lt;12,"N","P"))),""))))))</f>
        <v/>
      </c>
      <c r="C29" s="44">
        <f>IF(OR(C22="",'設定'!$B$13=""),"",IF(COUNTIFS(LeaveName,'設定'!$B$13,LeaveDate,"="&amp;($D$3+2*7+2),LeaveType,"AL")&gt;0,"AL",IF(COUNTIFS(LeaveName,'設定'!$B$13,LeaveDate,"="&amp;($D$3+2*7+2),LeaveType,"SL")&gt;0,"SL",IF('設定'!$B$13="","",IF('設定'!$C$13="S","S",IF('設定'!$C$13="R",IF(MOD(INT((($D$3+2*7+2-WEEKDAY($D$3+2*7+2,2)+1)-'設定'!$B$4)/7)+IF('設定'!$D$13="",0,'設定'!$D$13),16)&lt;4,"A",IF(MOD(INT((($D$3+2*7+2-WEEKDAY($D$3+2*7+2,2)+1)-'設定'!$B$4)/7)+IF('設定'!$D$13="",0,'設定'!$D$13),16)&lt;8,"P",IF(MOD(INT((($D$3+2*7+2-WEEKDAY($D$3+2*7+2,2)+1)-'設定'!$B$4)/7)+IF('設定'!$D$13="",0,'設定'!$D$13),16)&lt;12,"N","P"))),""))))))</f>
        <v/>
      </c>
      <c r="D29" s="44">
        <f>IF(OR(D22="",'設定'!$B$13=""),"",IF(COUNTIFS(LeaveName,'設定'!$B$13,LeaveDate,"="&amp;($D$3+2*7+3),LeaveType,"AL")&gt;0,"AL",IF(COUNTIFS(LeaveName,'設定'!$B$13,LeaveDate,"="&amp;($D$3+2*7+3),LeaveType,"SL")&gt;0,"SL",IF('設定'!$B$13="","",IF('設定'!$C$13="S","S",IF('設定'!$C$13="R",IF(MOD(INT((($D$3+2*7+3-WEEKDAY($D$3+2*7+3,2)+1)-'設定'!$B$4)/7)+IF('設定'!$D$13="",0,'設定'!$D$13),16)&lt;4,"A",IF(MOD(INT((($D$3+2*7+3-WEEKDAY($D$3+2*7+3,2)+1)-'設定'!$B$4)/7)+IF('設定'!$D$13="",0,'設定'!$D$13),16)&lt;8,"P",IF(MOD(INT((($D$3+2*7+3-WEEKDAY($D$3+2*7+3,2)+1)-'設定'!$B$4)/7)+IF('設定'!$D$13="",0,'設定'!$D$13),16)&lt;12,"N","P"))),""))))))</f>
        <v/>
      </c>
      <c r="E29" s="44">
        <f>IF(OR(E22="",'設定'!$B$13=""),"",IF(COUNTIFS(LeaveName,'設定'!$B$13,LeaveDate,"="&amp;($D$3+2*7+4),LeaveType,"AL")&gt;0,"AL",IF(COUNTIFS(LeaveName,'設定'!$B$13,LeaveDate,"="&amp;($D$3+2*7+4),LeaveType,"SL")&gt;0,"SL",IF('設定'!$B$13="","",IF('設定'!$C$13="S","S",IF('設定'!$C$13="R",IF(MOD(INT((($D$3+2*7+4-WEEKDAY($D$3+2*7+4,2)+1)-'設定'!$B$4)/7)+IF('設定'!$D$13="",0,'設定'!$D$13),16)&lt;4,"A",IF(MOD(INT((($D$3+2*7+4-WEEKDAY($D$3+2*7+4,2)+1)-'設定'!$B$4)/7)+IF('設定'!$D$13="",0,'設定'!$D$13),16)&lt;8,"P",IF(MOD(INT((($D$3+2*7+4-WEEKDAY($D$3+2*7+4,2)+1)-'設定'!$B$4)/7)+IF('設定'!$D$13="",0,'設定'!$D$13),16)&lt;12,"N","P"))),""))))))</f>
        <v/>
      </c>
      <c r="F29" s="44">
        <f>IF(OR(F22="",'設定'!$B$13=""),"",IF(COUNTIFS(LeaveName,'設定'!$B$13,LeaveDate,"="&amp;($D$3+2*7+5),LeaveType,"AL")&gt;0,"AL",IF(COUNTIFS(LeaveName,'設定'!$B$13,LeaveDate,"="&amp;($D$3+2*7+5),LeaveType,"SL")&gt;0,"SL",IF('設定'!$B$13="","",IF('設定'!$C$13="S","S",IF('設定'!$C$13="R",IF(MOD(INT((($D$3+2*7+5-WEEKDAY($D$3+2*7+5,2)+1)-'設定'!$B$4)/7)+IF('設定'!$D$13="",0,'設定'!$D$13),16)&lt;4,"A",IF(MOD(INT((($D$3+2*7+5-WEEKDAY($D$3+2*7+5,2)+1)-'設定'!$B$4)/7)+IF('設定'!$D$13="",0,'設定'!$D$13),16)&lt;8,"P",IF(MOD(INT((($D$3+2*7+5-WEEKDAY($D$3+2*7+5,2)+1)-'設定'!$B$4)/7)+IF('設定'!$D$13="",0,'設定'!$D$13),16)&lt;12,"N","P"))),""))))))</f>
        <v/>
      </c>
      <c r="G29" s="44">
        <f>IF(OR(G22="",'設定'!$B$13=""),"",IF(COUNTIFS(LeaveName,'設定'!$B$13,LeaveDate,"="&amp;($D$3+2*7+6),LeaveType,"AL")&gt;0,"AL",IF(COUNTIFS(LeaveName,'設定'!$B$13,LeaveDate,"="&amp;($D$3+2*7+6),LeaveType,"SL")&gt;0,"SL",IF('設定'!$B$13="","",IF('設定'!$C$13="S","S",IF('設定'!$C$13="R",IF(MOD(INT((($D$3+2*7+6-WEEKDAY($D$3+2*7+6,2)+1)-'設定'!$B$4)/7)+IF('設定'!$D$13="",0,'設定'!$D$13),16)&lt;4,"A",IF(MOD(INT((($D$3+2*7+6-WEEKDAY($D$3+2*7+6,2)+1)-'設定'!$B$4)/7)+IF('設定'!$D$13="",0,'設定'!$D$13),16)&lt;8,"P",IF(MOD(INT((($D$3+2*7+6-WEEKDAY($D$3+2*7+6,2)+1)-'設定'!$B$4)/7)+IF('設定'!$D$13="",0,'設定'!$D$13),16)&lt;12,"N","P"))),""))))))</f>
        <v/>
      </c>
      <c r="I29" s="45">
        <f>'設定'!B13</f>
        <v/>
      </c>
    </row>
    <row r="30">
      <c r="A30" s="41">
        <f>IF(OR(MONTH($D$3+3*7+0)&lt;&gt;MONTH($B$3),YEAR($D$3+3*7+0)&lt;&gt;YEAR($B$3)),"",$D$3+3*7+0)</f>
        <v/>
      </c>
      <c r="B30" s="41">
        <f>IF(OR(MONTH($D$3+3*7+1)&lt;&gt;MONTH($B$3),YEAR($D$3+3*7+1)&lt;&gt;YEAR($B$3)),"",$D$3+3*7+1)</f>
        <v/>
      </c>
      <c r="C30" s="41">
        <f>IF(OR(MONTH($D$3+3*7+2)&lt;&gt;MONTH($B$3),YEAR($D$3+3*7+2)&lt;&gt;YEAR($B$3)),"",$D$3+3*7+2)</f>
        <v/>
      </c>
      <c r="D30" s="41">
        <f>IF(OR(MONTH($D$3+3*7+3)&lt;&gt;MONTH($B$3),YEAR($D$3+3*7+3)&lt;&gt;YEAR($B$3)),"",$D$3+3*7+3)</f>
        <v/>
      </c>
      <c r="E30" s="41">
        <f>IF(OR(MONTH($D$3+3*7+4)&lt;&gt;MONTH($B$3),YEAR($D$3+3*7+4)&lt;&gt;YEAR($B$3)),"",$D$3+3*7+4)</f>
        <v/>
      </c>
      <c r="F30" s="41">
        <f>IF(OR(MONTH($D$3+3*7+5)&lt;&gt;MONTH($B$3),YEAR($D$3+3*7+5)&lt;&gt;YEAR($B$3)),"",$D$3+3*7+5)</f>
        <v/>
      </c>
      <c r="G30" s="41">
        <f>IF(OR(MONTH($D$3+3*7+6)&lt;&gt;MONTH($B$3),YEAR($D$3+3*7+6)&lt;&gt;YEAR($B$3)),"",$D$3+3*7+6)</f>
        <v/>
      </c>
      <c r="I30" s="42" t="inlineStr">
        <is>
          <t>日期</t>
        </is>
      </c>
    </row>
    <row r="31">
      <c r="A31" s="43">
        <f>IF(A30="","",IFERROR(INDEX(HolidayNames,MATCH($D$3+3*7+0,HolidayDates,0)),""))</f>
        <v/>
      </c>
      <c r="B31" s="43">
        <f>IF(B30="","",IFERROR(INDEX(HolidayNames,MATCH($D$3+3*7+1,HolidayDates,0)),""))</f>
        <v/>
      </c>
      <c r="C31" s="43">
        <f>IF(C30="","",IFERROR(INDEX(HolidayNames,MATCH($D$3+3*7+2,HolidayDates,0)),""))</f>
        <v/>
      </c>
      <c r="D31" s="43">
        <f>IF(D30="","",IFERROR(INDEX(HolidayNames,MATCH($D$3+3*7+3,HolidayDates,0)),""))</f>
        <v/>
      </c>
      <c r="E31" s="43">
        <f>IF(E30="","",IFERROR(INDEX(HolidayNames,MATCH($D$3+3*7+4,HolidayDates,0)),""))</f>
        <v/>
      </c>
      <c r="F31" s="43">
        <f>IF(F30="","",IFERROR(INDEX(HolidayNames,MATCH($D$3+3*7+5,HolidayDates,0)),""))</f>
        <v/>
      </c>
      <c r="G31" s="43">
        <f>IF(G30="","",IFERROR(INDEX(HolidayNames,MATCH($D$3+3*7+6,HolidayDates,0)),""))</f>
        <v/>
      </c>
      <c r="I31" s="42" t="inlineStr">
        <is>
          <t>公眾假期</t>
        </is>
      </c>
    </row>
    <row r="32">
      <c r="A32" s="44">
        <f>IF(OR(A30="",'設定'!$B$8=""),"",IF(COUNTIFS(LeaveName,'設定'!$B$8,LeaveDate,"="&amp;($D$3+3*7+0),LeaveType,"AL")&gt;0,"AL",IF(COUNTIFS(LeaveName,'設定'!$B$8,LeaveDate,"="&amp;($D$3+3*7+0),LeaveType,"SL")&gt;0,"SL",IF('設定'!$B$8="","",IF('設定'!$C$8="S","S",IF('設定'!$C$8="R",IF(MOD(INT((($D$3+3*7+0-WEEKDAY($D$3+3*7+0,2)+1)-'設定'!$B$4)/7)+IF('設定'!$D$8="",0,'設定'!$D$8),16)&lt;4,"A",IF(MOD(INT((($D$3+3*7+0-WEEKDAY($D$3+3*7+0,2)+1)-'設定'!$B$4)/7)+IF('設定'!$D$8="",0,'設定'!$D$8),16)&lt;8,"P",IF(MOD(INT((($D$3+3*7+0-WEEKDAY($D$3+3*7+0,2)+1)-'設定'!$B$4)/7)+IF('設定'!$D$8="",0,'設定'!$D$8),16)&lt;12,"N","P"))),""))))))</f>
        <v/>
      </c>
      <c r="B32" s="44">
        <f>IF(OR(B30="",'設定'!$B$8=""),"",IF(COUNTIFS(LeaveName,'設定'!$B$8,LeaveDate,"="&amp;($D$3+3*7+1),LeaveType,"AL")&gt;0,"AL",IF(COUNTIFS(LeaveName,'設定'!$B$8,LeaveDate,"="&amp;($D$3+3*7+1),LeaveType,"SL")&gt;0,"SL",IF('設定'!$B$8="","",IF('設定'!$C$8="S","S",IF('設定'!$C$8="R",IF(MOD(INT((($D$3+3*7+1-WEEKDAY($D$3+3*7+1,2)+1)-'設定'!$B$4)/7)+IF('設定'!$D$8="",0,'設定'!$D$8),16)&lt;4,"A",IF(MOD(INT((($D$3+3*7+1-WEEKDAY($D$3+3*7+1,2)+1)-'設定'!$B$4)/7)+IF('設定'!$D$8="",0,'設定'!$D$8),16)&lt;8,"P",IF(MOD(INT((($D$3+3*7+1-WEEKDAY($D$3+3*7+1,2)+1)-'設定'!$B$4)/7)+IF('設定'!$D$8="",0,'設定'!$D$8),16)&lt;12,"N","P"))),""))))))</f>
        <v/>
      </c>
      <c r="C32" s="44">
        <f>IF(OR(C30="",'設定'!$B$8=""),"",IF(COUNTIFS(LeaveName,'設定'!$B$8,LeaveDate,"="&amp;($D$3+3*7+2),LeaveType,"AL")&gt;0,"AL",IF(COUNTIFS(LeaveName,'設定'!$B$8,LeaveDate,"="&amp;($D$3+3*7+2),LeaveType,"SL")&gt;0,"SL",IF('設定'!$B$8="","",IF('設定'!$C$8="S","S",IF('設定'!$C$8="R",IF(MOD(INT((($D$3+3*7+2-WEEKDAY($D$3+3*7+2,2)+1)-'設定'!$B$4)/7)+IF('設定'!$D$8="",0,'設定'!$D$8),16)&lt;4,"A",IF(MOD(INT((($D$3+3*7+2-WEEKDAY($D$3+3*7+2,2)+1)-'設定'!$B$4)/7)+IF('設定'!$D$8="",0,'設定'!$D$8),16)&lt;8,"P",IF(MOD(INT((($D$3+3*7+2-WEEKDAY($D$3+3*7+2,2)+1)-'設定'!$B$4)/7)+IF('設定'!$D$8="",0,'設定'!$D$8),16)&lt;12,"N","P"))),""))))))</f>
        <v/>
      </c>
      <c r="D32" s="44">
        <f>IF(OR(D30="",'設定'!$B$8=""),"",IF(COUNTIFS(LeaveName,'設定'!$B$8,LeaveDate,"="&amp;($D$3+3*7+3),LeaveType,"AL")&gt;0,"AL",IF(COUNTIFS(LeaveName,'設定'!$B$8,LeaveDate,"="&amp;($D$3+3*7+3),LeaveType,"SL")&gt;0,"SL",IF('設定'!$B$8="","",IF('設定'!$C$8="S","S",IF('設定'!$C$8="R",IF(MOD(INT((($D$3+3*7+3-WEEKDAY($D$3+3*7+3,2)+1)-'設定'!$B$4)/7)+IF('設定'!$D$8="",0,'設定'!$D$8),16)&lt;4,"A",IF(MOD(INT((($D$3+3*7+3-WEEKDAY($D$3+3*7+3,2)+1)-'設定'!$B$4)/7)+IF('設定'!$D$8="",0,'設定'!$D$8),16)&lt;8,"P",IF(MOD(INT((($D$3+3*7+3-WEEKDAY($D$3+3*7+3,2)+1)-'設定'!$B$4)/7)+IF('設定'!$D$8="",0,'設定'!$D$8),16)&lt;12,"N","P"))),""))))))</f>
        <v/>
      </c>
      <c r="E32" s="44">
        <f>IF(OR(E30="",'設定'!$B$8=""),"",IF(COUNTIFS(LeaveName,'設定'!$B$8,LeaveDate,"="&amp;($D$3+3*7+4),LeaveType,"AL")&gt;0,"AL",IF(COUNTIFS(LeaveName,'設定'!$B$8,LeaveDate,"="&amp;($D$3+3*7+4),LeaveType,"SL")&gt;0,"SL",IF('設定'!$B$8="","",IF('設定'!$C$8="S","S",IF('設定'!$C$8="R",IF(MOD(INT((($D$3+3*7+4-WEEKDAY($D$3+3*7+4,2)+1)-'設定'!$B$4)/7)+IF('設定'!$D$8="",0,'設定'!$D$8),16)&lt;4,"A",IF(MOD(INT((($D$3+3*7+4-WEEKDAY($D$3+3*7+4,2)+1)-'設定'!$B$4)/7)+IF('設定'!$D$8="",0,'設定'!$D$8),16)&lt;8,"P",IF(MOD(INT((($D$3+3*7+4-WEEKDAY($D$3+3*7+4,2)+1)-'設定'!$B$4)/7)+IF('設定'!$D$8="",0,'設定'!$D$8),16)&lt;12,"N","P"))),""))))))</f>
        <v/>
      </c>
      <c r="F32" s="44">
        <f>IF(OR(F30="",'設定'!$B$8=""),"",IF(COUNTIFS(LeaveName,'設定'!$B$8,LeaveDate,"="&amp;($D$3+3*7+5),LeaveType,"AL")&gt;0,"AL",IF(COUNTIFS(LeaveName,'設定'!$B$8,LeaveDate,"="&amp;($D$3+3*7+5),LeaveType,"SL")&gt;0,"SL",IF('設定'!$B$8="","",IF('設定'!$C$8="S","S",IF('設定'!$C$8="R",IF(MOD(INT((($D$3+3*7+5-WEEKDAY($D$3+3*7+5,2)+1)-'設定'!$B$4)/7)+IF('設定'!$D$8="",0,'設定'!$D$8),16)&lt;4,"A",IF(MOD(INT((($D$3+3*7+5-WEEKDAY($D$3+3*7+5,2)+1)-'設定'!$B$4)/7)+IF('設定'!$D$8="",0,'設定'!$D$8),16)&lt;8,"P",IF(MOD(INT((($D$3+3*7+5-WEEKDAY($D$3+3*7+5,2)+1)-'設定'!$B$4)/7)+IF('設定'!$D$8="",0,'設定'!$D$8),16)&lt;12,"N","P"))),""))))))</f>
        <v/>
      </c>
      <c r="G32" s="44">
        <f>IF(OR(G30="",'設定'!$B$8=""),"",IF(COUNTIFS(LeaveName,'設定'!$B$8,LeaveDate,"="&amp;($D$3+3*7+6),LeaveType,"AL")&gt;0,"AL",IF(COUNTIFS(LeaveName,'設定'!$B$8,LeaveDate,"="&amp;($D$3+3*7+6),LeaveType,"SL")&gt;0,"SL",IF('設定'!$B$8="","",IF('設定'!$C$8="S","S",IF('設定'!$C$8="R",IF(MOD(INT((($D$3+3*7+6-WEEKDAY($D$3+3*7+6,2)+1)-'設定'!$B$4)/7)+IF('設定'!$D$8="",0,'設定'!$D$8),16)&lt;4,"A",IF(MOD(INT((($D$3+3*7+6-WEEKDAY($D$3+3*7+6,2)+1)-'設定'!$B$4)/7)+IF('設定'!$D$8="",0,'設定'!$D$8),16)&lt;8,"P",IF(MOD(INT((($D$3+3*7+6-WEEKDAY($D$3+3*7+6,2)+1)-'設定'!$B$4)/7)+IF('設定'!$D$8="",0,'設定'!$D$8),16)&lt;12,"N","P"))),""))))))</f>
        <v/>
      </c>
      <c r="I32" s="45">
        <f>'設定'!B8</f>
        <v/>
      </c>
    </row>
    <row r="33">
      <c r="A33" s="44">
        <f>IF(OR(A30="",'設定'!$B$9=""),"",IF(COUNTIFS(LeaveName,'設定'!$B$9,LeaveDate,"="&amp;($D$3+3*7+0),LeaveType,"AL")&gt;0,"AL",IF(COUNTIFS(LeaveName,'設定'!$B$9,LeaveDate,"="&amp;($D$3+3*7+0),LeaveType,"SL")&gt;0,"SL",IF('設定'!$B$9="","",IF('設定'!$C$9="S","S",IF('設定'!$C$9="R",IF(MOD(INT((($D$3+3*7+0-WEEKDAY($D$3+3*7+0,2)+1)-'設定'!$B$4)/7)+IF('設定'!$D$9="",0,'設定'!$D$9),16)&lt;4,"A",IF(MOD(INT((($D$3+3*7+0-WEEKDAY($D$3+3*7+0,2)+1)-'設定'!$B$4)/7)+IF('設定'!$D$9="",0,'設定'!$D$9),16)&lt;8,"P",IF(MOD(INT((($D$3+3*7+0-WEEKDAY($D$3+3*7+0,2)+1)-'設定'!$B$4)/7)+IF('設定'!$D$9="",0,'設定'!$D$9),16)&lt;12,"N","P"))),""))))))</f>
        <v/>
      </c>
      <c r="B33" s="44">
        <f>IF(OR(B30="",'設定'!$B$9=""),"",IF(COUNTIFS(LeaveName,'設定'!$B$9,LeaveDate,"="&amp;($D$3+3*7+1),LeaveType,"AL")&gt;0,"AL",IF(COUNTIFS(LeaveName,'設定'!$B$9,LeaveDate,"="&amp;($D$3+3*7+1),LeaveType,"SL")&gt;0,"SL",IF('設定'!$B$9="","",IF('設定'!$C$9="S","S",IF('設定'!$C$9="R",IF(MOD(INT((($D$3+3*7+1-WEEKDAY($D$3+3*7+1,2)+1)-'設定'!$B$4)/7)+IF('設定'!$D$9="",0,'設定'!$D$9),16)&lt;4,"A",IF(MOD(INT((($D$3+3*7+1-WEEKDAY($D$3+3*7+1,2)+1)-'設定'!$B$4)/7)+IF('設定'!$D$9="",0,'設定'!$D$9),16)&lt;8,"P",IF(MOD(INT((($D$3+3*7+1-WEEKDAY($D$3+3*7+1,2)+1)-'設定'!$B$4)/7)+IF('設定'!$D$9="",0,'設定'!$D$9),16)&lt;12,"N","P"))),""))))))</f>
        <v/>
      </c>
      <c r="C33" s="44">
        <f>IF(OR(C30="",'設定'!$B$9=""),"",IF(COUNTIFS(LeaveName,'設定'!$B$9,LeaveDate,"="&amp;($D$3+3*7+2),LeaveType,"AL")&gt;0,"AL",IF(COUNTIFS(LeaveName,'設定'!$B$9,LeaveDate,"="&amp;($D$3+3*7+2),LeaveType,"SL")&gt;0,"SL",IF('設定'!$B$9="","",IF('設定'!$C$9="S","S",IF('設定'!$C$9="R",IF(MOD(INT((($D$3+3*7+2-WEEKDAY($D$3+3*7+2,2)+1)-'設定'!$B$4)/7)+IF('設定'!$D$9="",0,'設定'!$D$9),16)&lt;4,"A",IF(MOD(INT((($D$3+3*7+2-WEEKDAY($D$3+3*7+2,2)+1)-'設定'!$B$4)/7)+IF('設定'!$D$9="",0,'設定'!$D$9),16)&lt;8,"P",IF(MOD(INT((($D$3+3*7+2-WEEKDAY($D$3+3*7+2,2)+1)-'設定'!$B$4)/7)+IF('設定'!$D$9="",0,'設定'!$D$9),16)&lt;12,"N","P"))),""))))))</f>
        <v/>
      </c>
      <c r="D33" s="44">
        <f>IF(OR(D30="",'設定'!$B$9=""),"",IF(COUNTIFS(LeaveName,'設定'!$B$9,LeaveDate,"="&amp;($D$3+3*7+3),LeaveType,"AL")&gt;0,"AL",IF(COUNTIFS(LeaveName,'設定'!$B$9,LeaveDate,"="&amp;($D$3+3*7+3),LeaveType,"SL")&gt;0,"SL",IF('設定'!$B$9="","",IF('設定'!$C$9="S","S",IF('設定'!$C$9="R",IF(MOD(INT((($D$3+3*7+3-WEEKDAY($D$3+3*7+3,2)+1)-'設定'!$B$4)/7)+IF('設定'!$D$9="",0,'設定'!$D$9),16)&lt;4,"A",IF(MOD(INT((($D$3+3*7+3-WEEKDAY($D$3+3*7+3,2)+1)-'設定'!$B$4)/7)+IF('設定'!$D$9="",0,'設定'!$D$9),16)&lt;8,"P",IF(MOD(INT((($D$3+3*7+3-WEEKDAY($D$3+3*7+3,2)+1)-'設定'!$B$4)/7)+IF('設定'!$D$9="",0,'設定'!$D$9),16)&lt;12,"N","P"))),""))))))</f>
        <v/>
      </c>
      <c r="E33" s="44">
        <f>IF(OR(E30="",'設定'!$B$9=""),"",IF(COUNTIFS(LeaveName,'設定'!$B$9,LeaveDate,"="&amp;($D$3+3*7+4),LeaveType,"AL")&gt;0,"AL",IF(COUNTIFS(LeaveName,'設定'!$B$9,LeaveDate,"="&amp;($D$3+3*7+4),LeaveType,"SL")&gt;0,"SL",IF('設定'!$B$9="","",IF('設定'!$C$9="S","S",IF('設定'!$C$9="R",IF(MOD(INT((($D$3+3*7+4-WEEKDAY($D$3+3*7+4,2)+1)-'設定'!$B$4)/7)+IF('設定'!$D$9="",0,'設定'!$D$9),16)&lt;4,"A",IF(MOD(INT((($D$3+3*7+4-WEEKDAY($D$3+3*7+4,2)+1)-'設定'!$B$4)/7)+IF('設定'!$D$9="",0,'設定'!$D$9),16)&lt;8,"P",IF(MOD(INT((($D$3+3*7+4-WEEKDAY($D$3+3*7+4,2)+1)-'設定'!$B$4)/7)+IF('設定'!$D$9="",0,'設定'!$D$9),16)&lt;12,"N","P"))),""))))))</f>
        <v/>
      </c>
      <c r="F33" s="44">
        <f>IF(OR(F30="",'設定'!$B$9=""),"",IF(COUNTIFS(LeaveName,'設定'!$B$9,LeaveDate,"="&amp;($D$3+3*7+5),LeaveType,"AL")&gt;0,"AL",IF(COUNTIFS(LeaveName,'設定'!$B$9,LeaveDate,"="&amp;($D$3+3*7+5),LeaveType,"SL")&gt;0,"SL",IF('設定'!$B$9="","",IF('設定'!$C$9="S","S",IF('設定'!$C$9="R",IF(MOD(INT((($D$3+3*7+5-WEEKDAY($D$3+3*7+5,2)+1)-'設定'!$B$4)/7)+IF('設定'!$D$9="",0,'設定'!$D$9),16)&lt;4,"A",IF(MOD(INT((($D$3+3*7+5-WEEKDAY($D$3+3*7+5,2)+1)-'設定'!$B$4)/7)+IF('設定'!$D$9="",0,'設定'!$D$9),16)&lt;8,"P",IF(MOD(INT((($D$3+3*7+5-WEEKDAY($D$3+3*7+5,2)+1)-'設定'!$B$4)/7)+IF('設定'!$D$9="",0,'設定'!$D$9),16)&lt;12,"N","P"))),""))))))</f>
        <v/>
      </c>
      <c r="G33" s="44">
        <f>IF(OR(G30="",'設定'!$B$9=""),"",IF(COUNTIFS(LeaveName,'設定'!$B$9,LeaveDate,"="&amp;($D$3+3*7+6),LeaveType,"AL")&gt;0,"AL",IF(COUNTIFS(LeaveName,'設定'!$B$9,LeaveDate,"="&amp;($D$3+3*7+6),LeaveType,"SL")&gt;0,"SL",IF('設定'!$B$9="","",IF('設定'!$C$9="S","S",IF('設定'!$C$9="R",IF(MOD(INT((($D$3+3*7+6-WEEKDAY($D$3+3*7+6,2)+1)-'設定'!$B$4)/7)+IF('設定'!$D$9="",0,'設定'!$D$9),16)&lt;4,"A",IF(MOD(INT((($D$3+3*7+6-WEEKDAY($D$3+3*7+6,2)+1)-'設定'!$B$4)/7)+IF('設定'!$D$9="",0,'設定'!$D$9),16)&lt;8,"P",IF(MOD(INT((($D$3+3*7+6-WEEKDAY($D$3+3*7+6,2)+1)-'設定'!$B$4)/7)+IF('設定'!$D$9="",0,'設定'!$D$9),16)&lt;12,"N","P"))),""))))))</f>
        <v/>
      </c>
      <c r="I33" s="45">
        <f>'設定'!B9</f>
        <v/>
      </c>
    </row>
    <row r="34">
      <c r="A34" s="44">
        <f>IF(OR(A30="",'設定'!$B$10=""),"",IF(COUNTIFS(LeaveName,'設定'!$B$10,LeaveDate,"="&amp;($D$3+3*7+0),LeaveType,"AL")&gt;0,"AL",IF(COUNTIFS(LeaveName,'設定'!$B$10,LeaveDate,"="&amp;($D$3+3*7+0),LeaveType,"SL")&gt;0,"SL",IF('設定'!$B$10="","",IF('設定'!$C$10="S","S",IF('設定'!$C$10="R",IF(MOD(INT((($D$3+3*7+0-WEEKDAY($D$3+3*7+0,2)+1)-'設定'!$B$4)/7)+IF('設定'!$D$10="",0,'設定'!$D$10),16)&lt;4,"A",IF(MOD(INT((($D$3+3*7+0-WEEKDAY($D$3+3*7+0,2)+1)-'設定'!$B$4)/7)+IF('設定'!$D$10="",0,'設定'!$D$10),16)&lt;8,"P",IF(MOD(INT((($D$3+3*7+0-WEEKDAY($D$3+3*7+0,2)+1)-'設定'!$B$4)/7)+IF('設定'!$D$10="",0,'設定'!$D$10),16)&lt;12,"N","P"))),""))))))</f>
        <v/>
      </c>
      <c r="B34" s="44">
        <f>IF(OR(B30="",'設定'!$B$10=""),"",IF(COUNTIFS(LeaveName,'設定'!$B$10,LeaveDate,"="&amp;($D$3+3*7+1),LeaveType,"AL")&gt;0,"AL",IF(COUNTIFS(LeaveName,'設定'!$B$10,LeaveDate,"="&amp;($D$3+3*7+1),LeaveType,"SL")&gt;0,"SL",IF('設定'!$B$10="","",IF('設定'!$C$10="S","S",IF('設定'!$C$10="R",IF(MOD(INT((($D$3+3*7+1-WEEKDAY($D$3+3*7+1,2)+1)-'設定'!$B$4)/7)+IF('設定'!$D$10="",0,'設定'!$D$10),16)&lt;4,"A",IF(MOD(INT((($D$3+3*7+1-WEEKDAY($D$3+3*7+1,2)+1)-'設定'!$B$4)/7)+IF('設定'!$D$10="",0,'設定'!$D$10),16)&lt;8,"P",IF(MOD(INT((($D$3+3*7+1-WEEKDAY($D$3+3*7+1,2)+1)-'設定'!$B$4)/7)+IF('設定'!$D$10="",0,'設定'!$D$10),16)&lt;12,"N","P"))),""))))))</f>
        <v/>
      </c>
      <c r="C34" s="44">
        <f>IF(OR(C30="",'設定'!$B$10=""),"",IF(COUNTIFS(LeaveName,'設定'!$B$10,LeaveDate,"="&amp;($D$3+3*7+2),LeaveType,"AL")&gt;0,"AL",IF(COUNTIFS(LeaveName,'設定'!$B$10,LeaveDate,"="&amp;($D$3+3*7+2),LeaveType,"SL")&gt;0,"SL",IF('設定'!$B$10="","",IF('設定'!$C$10="S","S",IF('設定'!$C$10="R",IF(MOD(INT((($D$3+3*7+2-WEEKDAY($D$3+3*7+2,2)+1)-'設定'!$B$4)/7)+IF('設定'!$D$10="",0,'設定'!$D$10),16)&lt;4,"A",IF(MOD(INT((($D$3+3*7+2-WEEKDAY($D$3+3*7+2,2)+1)-'設定'!$B$4)/7)+IF('設定'!$D$10="",0,'設定'!$D$10),16)&lt;8,"P",IF(MOD(INT((($D$3+3*7+2-WEEKDAY($D$3+3*7+2,2)+1)-'設定'!$B$4)/7)+IF('設定'!$D$10="",0,'設定'!$D$10),16)&lt;12,"N","P"))),""))))))</f>
        <v/>
      </c>
      <c r="D34" s="44">
        <f>IF(OR(D30="",'設定'!$B$10=""),"",IF(COUNTIFS(LeaveName,'設定'!$B$10,LeaveDate,"="&amp;($D$3+3*7+3),LeaveType,"AL")&gt;0,"AL",IF(COUNTIFS(LeaveName,'設定'!$B$10,LeaveDate,"="&amp;($D$3+3*7+3),LeaveType,"SL")&gt;0,"SL",IF('設定'!$B$10="","",IF('設定'!$C$10="S","S",IF('設定'!$C$10="R",IF(MOD(INT((($D$3+3*7+3-WEEKDAY($D$3+3*7+3,2)+1)-'設定'!$B$4)/7)+IF('設定'!$D$10="",0,'設定'!$D$10),16)&lt;4,"A",IF(MOD(INT((($D$3+3*7+3-WEEKDAY($D$3+3*7+3,2)+1)-'設定'!$B$4)/7)+IF('設定'!$D$10="",0,'設定'!$D$10),16)&lt;8,"P",IF(MOD(INT((($D$3+3*7+3-WEEKDAY($D$3+3*7+3,2)+1)-'設定'!$B$4)/7)+IF('設定'!$D$10="",0,'設定'!$D$10),16)&lt;12,"N","P"))),""))))))</f>
        <v/>
      </c>
      <c r="E34" s="44">
        <f>IF(OR(E30="",'設定'!$B$10=""),"",IF(COUNTIFS(LeaveName,'設定'!$B$10,LeaveDate,"="&amp;($D$3+3*7+4),LeaveType,"AL")&gt;0,"AL",IF(COUNTIFS(LeaveName,'設定'!$B$10,LeaveDate,"="&amp;($D$3+3*7+4),LeaveType,"SL")&gt;0,"SL",IF('設定'!$B$10="","",IF('設定'!$C$10="S","S",IF('設定'!$C$10="R",IF(MOD(INT((($D$3+3*7+4-WEEKDAY($D$3+3*7+4,2)+1)-'設定'!$B$4)/7)+IF('設定'!$D$10="",0,'設定'!$D$10),16)&lt;4,"A",IF(MOD(INT((($D$3+3*7+4-WEEKDAY($D$3+3*7+4,2)+1)-'設定'!$B$4)/7)+IF('設定'!$D$10="",0,'設定'!$D$10),16)&lt;8,"P",IF(MOD(INT((($D$3+3*7+4-WEEKDAY($D$3+3*7+4,2)+1)-'設定'!$B$4)/7)+IF('設定'!$D$10="",0,'設定'!$D$10),16)&lt;12,"N","P"))),""))))))</f>
        <v/>
      </c>
      <c r="F34" s="44">
        <f>IF(OR(F30="",'設定'!$B$10=""),"",IF(COUNTIFS(LeaveName,'設定'!$B$10,LeaveDate,"="&amp;($D$3+3*7+5),LeaveType,"AL")&gt;0,"AL",IF(COUNTIFS(LeaveName,'設定'!$B$10,LeaveDate,"="&amp;($D$3+3*7+5),LeaveType,"SL")&gt;0,"SL",IF('設定'!$B$10="","",IF('設定'!$C$10="S","S",IF('設定'!$C$10="R",IF(MOD(INT((($D$3+3*7+5-WEEKDAY($D$3+3*7+5,2)+1)-'設定'!$B$4)/7)+IF('設定'!$D$10="",0,'設定'!$D$10),16)&lt;4,"A",IF(MOD(INT((($D$3+3*7+5-WEEKDAY($D$3+3*7+5,2)+1)-'設定'!$B$4)/7)+IF('設定'!$D$10="",0,'設定'!$D$10),16)&lt;8,"P",IF(MOD(INT((($D$3+3*7+5-WEEKDAY($D$3+3*7+5,2)+1)-'設定'!$B$4)/7)+IF('設定'!$D$10="",0,'設定'!$D$10),16)&lt;12,"N","P"))),""))))))</f>
        <v/>
      </c>
      <c r="G34" s="44">
        <f>IF(OR(G30="",'設定'!$B$10=""),"",IF(COUNTIFS(LeaveName,'設定'!$B$10,LeaveDate,"="&amp;($D$3+3*7+6),LeaveType,"AL")&gt;0,"AL",IF(COUNTIFS(LeaveName,'設定'!$B$10,LeaveDate,"="&amp;($D$3+3*7+6),LeaveType,"SL")&gt;0,"SL",IF('設定'!$B$10="","",IF('設定'!$C$10="S","S",IF('設定'!$C$10="R",IF(MOD(INT((($D$3+3*7+6-WEEKDAY($D$3+3*7+6,2)+1)-'設定'!$B$4)/7)+IF('設定'!$D$10="",0,'設定'!$D$10),16)&lt;4,"A",IF(MOD(INT((($D$3+3*7+6-WEEKDAY($D$3+3*7+6,2)+1)-'設定'!$B$4)/7)+IF('設定'!$D$10="",0,'設定'!$D$10),16)&lt;8,"P",IF(MOD(INT((($D$3+3*7+6-WEEKDAY($D$3+3*7+6,2)+1)-'設定'!$B$4)/7)+IF('設定'!$D$10="",0,'設定'!$D$10),16)&lt;12,"N","P"))),""))))))</f>
        <v/>
      </c>
      <c r="I34" s="45">
        <f>'設定'!B10</f>
        <v/>
      </c>
    </row>
    <row r="35">
      <c r="A35" s="44">
        <f>IF(OR(A30="",'設定'!$B$11=""),"",IF(COUNTIFS(LeaveName,'設定'!$B$11,LeaveDate,"="&amp;($D$3+3*7+0),LeaveType,"AL")&gt;0,"AL",IF(COUNTIFS(LeaveName,'設定'!$B$11,LeaveDate,"="&amp;($D$3+3*7+0),LeaveType,"SL")&gt;0,"SL",IF('設定'!$B$11="","",IF('設定'!$C$11="S","S",IF('設定'!$C$11="R",IF(MOD(INT((($D$3+3*7+0-WEEKDAY($D$3+3*7+0,2)+1)-'設定'!$B$4)/7)+IF('設定'!$D$11="",0,'設定'!$D$11),16)&lt;4,"A",IF(MOD(INT((($D$3+3*7+0-WEEKDAY($D$3+3*7+0,2)+1)-'設定'!$B$4)/7)+IF('設定'!$D$11="",0,'設定'!$D$11),16)&lt;8,"P",IF(MOD(INT((($D$3+3*7+0-WEEKDAY($D$3+3*7+0,2)+1)-'設定'!$B$4)/7)+IF('設定'!$D$11="",0,'設定'!$D$11),16)&lt;12,"N","P"))),""))))))</f>
        <v/>
      </c>
      <c r="B35" s="44">
        <f>IF(OR(B30="",'設定'!$B$11=""),"",IF(COUNTIFS(LeaveName,'設定'!$B$11,LeaveDate,"="&amp;($D$3+3*7+1),LeaveType,"AL")&gt;0,"AL",IF(COUNTIFS(LeaveName,'設定'!$B$11,LeaveDate,"="&amp;($D$3+3*7+1),LeaveType,"SL")&gt;0,"SL",IF('設定'!$B$11="","",IF('設定'!$C$11="S","S",IF('設定'!$C$11="R",IF(MOD(INT((($D$3+3*7+1-WEEKDAY($D$3+3*7+1,2)+1)-'設定'!$B$4)/7)+IF('設定'!$D$11="",0,'設定'!$D$11),16)&lt;4,"A",IF(MOD(INT((($D$3+3*7+1-WEEKDAY($D$3+3*7+1,2)+1)-'設定'!$B$4)/7)+IF('設定'!$D$11="",0,'設定'!$D$11),16)&lt;8,"P",IF(MOD(INT((($D$3+3*7+1-WEEKDAY($D$3+3*7+1,2)+1)-'設定'!$B$4)/7)+IF('設定'!$D$11="",0,'設定'!$D$11),16)&lt;12,"N","P"))),""))))))</f>
        <v/>
      </c>
      <c r="C35" s="44">
        <f>IF(OR(C30="",'設定'!$B$11=""),"",IF(COUNTIFS(LeaveName,'設定'!$B$11,LeaveDate,"="&amp;($D$3+3*7+2),LeaveType,"AL")&gt;0,"AL",IF(COUNTIFS(LeaveName,'設定'!$B$11,LeaveDate,"="&amp;($D$3+3*7+2),LeaveType,"SL")&gt;0,"SL",IF('設定'!$B$11="","",IF('設定'!$C$11="S","S",IF('設定'!$C$11="R",IF(MOD(INT((($D$3+3*7+2-WEEKDAY($D$3+3*7+2,2)+1)-'設定'!$B$4)/7)+IF('設定'!$D$11="",0,'設定'!$D$11),16)&lt;4,"A",IF(MOD(INT((($D$3+3*7+2-WEEKDAY($D$3+3*7+2,2)+1)-'設定'!$B$4)/7)+IF('設定'!$D$11="",0,'設定'!$D$11),16)&lt;8,"P",IF(MOD(INT((($D$3+3*7+2-WEEKDAY($D$3+3*7+2,2)+1)-'設定'!$B$4)/7)+IF('設定'!$D$11="",0,'設定'!$D$11),16)&lt;12,"N","P"))),""))))))</f>
        <v/>
      </c>
      <c r="D35" s="44">
        <f>IF(OR(D30="",'設定'!$B$11=""),"",IF(COUNTIFS(LeaveName,'設定'!$B$11,LeaveDate,"="&amp;($D$3+3*7+3),LeaveType,"AL")&gt;0,"AL",IF(COUNTIFS(LeaveName,'設定'!$B$11,LeaveDate,"="&amp;($D$3+3*7+3),LeaveType,"SL")&gt;0,"SL",IF('設定'!$B$11="","",IF('設定'!$C$11="S","S",IF('設定'!$C$11="R",IF(MOD(INT((($D$3+3*7+3-WEEKDAY($D$3+3*7+3,2)+1)-'設定'!$B$4)/7)+IF('設定'!$D$11="",0,'設定'!$D$11),16)&lt;4,"A",IF(MOD(INT((($D$3+3*7+3-WEEKDAY($D$3+3*7+3,2)+1)-'設定'!$B$4)/7)+IF('設定'!$D$11="",0,'設定'!$D$11),16)&lt;8,"P",IF(MOD(INT((($D$3+3*7+3-WEEKDAY($D$3+3*7+3,2)+1)-'設定'!$B$4)/7)+IF('設定'!$D$11="",0,'設定'!$D$11),16)&lt;12,"N","P"))),""))))))</f>
        <v/>
      </c>
      <c r="E35" s="44">
        <f>IF(OR(E30="",'設定'!$B$11=""),"",IF(COUNTIFS(LeaveName,'設定'!$B$11,LeaveDate,"="&amp;($D$3+3*7+4),LeaveType,"AL")&gt;0,"AL",IF(COUNTIFS(LeaveName,'設定'!$B$11,LeaveDate,"="&amp;($D$3+3*7+4),LeaveType,"SL")&gt;0,"SL",IF('設定'!$B$11="","",IF('設定'!$C$11="S","S",IF('設定'!$C$11="R",IF(MOD(INT((($D$3+3*7+4-WEEKDAY($D$3+3*7+4,2)+1)-'設定'!$B$4)/7)+IF('設定'!$D$11="",0,'設定'!$D$11),16)&lt;4,"A",IF(MOD(INT((($D$3+3*7+4-WEEKDAY($D$3+3*7+4,2)+1)-'設定'!$B$4)/7)+IF('設定'!$D$11="",0,'設定'!$D$11),16)&lt;8,"P",IF(MOD(INT((($D$3+3*7+4-WEEKDAY($D$3+3*7+4,2)+1)-'設定'!$B$4)/7)+IF('設定'!$D$11="",0,'設定'!$D$11),16)&lt;12,"N","P"))),""))))))</f>
        <v/>
      </c>
      <c r="F35" s="44">
        <f>IF(OR(F30="",'設定'!$B$11=""),"",IF(COUNTIFS(LeaveName,'設定'!$B$11,LeaveDate,"="&amp;($D$3+3*7+5),LeaveType,"AL")&gt;0,"AL",IF(COUNTIFS(LeaveName,'設定'!$B$11,LeaveDate,"="&amp;($D$3+3*7+5),LeaveType,"SL")&gt;0,"SL",IF('設定'!$B$11="","",IF('設定'!$C$11="S","S",IF('設定'!$C$11="R",IF(MOD(INT((($D$3+3*7+5-WEEKDAY($D$3+3*7+5,2)+1)-'設定'!$B$4)/7)+IF('設定'!$D$11="",0,'設定'!$D$11),16)&lt;4,"A",IF(MOD(INT((($D$3+3*7+5-WEEKDAY($D$3+3*7+5,2)+1)-'設定'!$B$4)/7)+IF('設定'!$D$11="",0,'設定'!$D$11),16)&lt;8,"P",IF(MOD(INT((($D$3+3*7+5-WEEKDAY($D$3+3*7+5,2)+1)-'設定'!$B$4)/7)+IF('設定'!$D$11="",0,'設定'!$D$11),16)&lt;12,"N","P"))),""))))))</f>
        <v/>
      </c>
      <c r="G35" s="44">
        <f>IF(OR(G30="",'設定'!$B$11=""),"",IF(COUNTIFS(LeaveName,'設定'!$B$11,LeaveDate,"="&amp;($D$3+3*7+6),LeaveType,"AL")&gt;0,"AL",IF(COUNTIFS(LeaveName,'設定'!$B$11,LeaveDate,"="&amp;($D$3+3*7+6),LeaveType,"SL")&gt;0,"SL",IF('設定'!$B$11="","",IF('設定'!$C$11="S","S",IF('設定'!$C$11="R",IF(MOD(INT((($D$3+3*7+6-WEEKDAY($D$3+3*7+6,2)+1)-'設定'!$B$4)/7)+IF('設定'!$D$11="",0,'設定'!$D$11),16)&lt;4,"A",IF(MOD(INT((($D$3+3*7+6-WEEKDAY($D$3+3*7+6,2)+1)-'設定'!$B$4)/7)+IF('設定'!$D$11="",0,'設定'!$D$11),16)&lt;8,"P",IF(MOD(INT((($D$3+3*7+6-WEEKDAY($D$3+3*7+6,2)+1)-'設定'!$B$4)/7)+IF('設定'!$D$11="",0,'設定'!$D$11),16)&lt;12,"N","P"))),""))))))</f>
        <v/>
      </c>
      <c r="I35" s="45">
        <f>'設定'!B11</f>
        <v/>
      </c>
    </row>
    <row r="36">
      <c r="A36" s="44">
        <f>IF(OR(A30="",'設定'!$B$12=""),"",IF(COUNTIFS(LeaveName,'設定'!$B$12,LeaveDate,"="&amp;($D$3+3*7+0),LeaveType,"AL")&gt;0,"AL",IF(COUNTIFS(LeaveName,'設定'!$B$12,LeaveDate,"="&amp;($D$3+3*7+0),LeaveType,"SL")&gt;0,"SL",IF('設定'!$B$12="","",IF('設定'!$C$12="S","S",IF('設定'!$C$12="R",IF(MOD(INT((($D$3+3*7+0-WEEKDAY($D$3+3*7+0,2)+1)-'設定'!$B$4)/7)+IF('設定'!$D$12="",0,'設定'!$D$12),16)&lt;4,"A",IF(MOD(INT((($D$3+3*7+0-WEEKDAY($D$3+3*7+0,2)+1)-'設定'!$B$4)/7)+IF('設定'!$D$12="",0,'設定'!$D$12),16)&lt;8,"P",IF(MOD(INT((($D$3+3*7+0-WEEKDAY($D$3+3*7+0,2)+1)-'設定'!$B$4)/7)+IF('設定'!$D$12="",0,'設定'!$D$12),16)&lt;12,"N","P"))),""))))))</f>
        <v/>
      </c>
      <c r="B36" s="44">
        <f>IF(OR(B30="",'設定'!$B$12=""),"",IF(COUNTIFS(LeaveName,'設定'!$B$12,LeaveDate,"="&amp;($D$3+3*7+1),LeaveType,"AL")&gt;0,"AL",IF(COUNTIFS(LeaveName,'設定'!$B$12,LeaveDate,"="&amp;($D$3+3*7+1),LeaveType,"SL")&gt;0,"SL",IF('設定'!$B$12="","",IF('設定'!$C$12="S","S",IF('設定'!$C$12="R",IF(MOD(INT((($D$3+3*7+1-WEEKDAY($D$3+3*7+1,2)+1)-'設定'!$B$4)/7)+IF('設定'!$D$12="",0,'設定'!$D$12),16)&lt;4,"A",IF(MOD(INT((($D$3+3*7+1-WEEKDAY($D$3+3*7+1,2)+1)-'設定'!$B$4)/7)+IF('設定'!$D$12="",0,'設定'!$D$12),16)&lt;8,"P",IF(MOD(INT((($D$3+3*7+1-WEEKDAY($D$3+3*7+1,2)+1)-'設定'!$B$4)/7)+IF('設定'!$D$12="",0,'設定'!$D$12),16)&lt;12,"N","P"))),""))))))</f>
        <v/>
      </c>
      <c r="C36" s="44">
        <f>IF(OR(C30="",'設定'!$B$12=""),"",IF(COUNTIFS(LeaveName,'設定'!$B$12,LeaveDate,"="&amp;($D$3+3*7+2),LeaveType,"AL")&gt;0,"AL",IF(COUNTIFS(LeaveName,'設定'!$B$12,LeaveDate,"="&amp;($D$3+3*7+2),LeaveType,"SL")&gt;0,"SL",IF('設定'!$B$12="","",IF('設定'!$C$12="S","S",IF('設定'!$C$12="R",IF(MOD(INT((($D$3+3*7+2-WEEKDAY($D$3+3*7+2,2)+1)-'設定'!$B$4)/7)+IF('設定'!$D$12="",0,'設定'!$D$12),16)&lt;4,"A",IF(MOD(INT((($D$3+3*7+2-WEEKDAY($D$3+3*7+2,2)+1)-'設定'!$B$4)/7)+IF('設定'!$D$12="",0,'設定'!$D$12),16)&lt;8,"P",IF(MOD(INT((($D$3+3*7+2-WEEKDAY($D$3+3*7+2,2)+1)-'設定'!$B$4)/7)+IF('設定'!$D$12="",0,'設定'!$D$12),16)&lt;12,"N","P"))),""))))))</f>
        <v/>
      </c>
      <c r="D36" s="44">
        <f>IF(OR(D30="",'設定'!$B$12=""),"",IF(COUNTIFS(LeaveName,'設定'!$B$12,LeaveDate,"="&amp;($D$3+3*7+3),LeaveType,"AL")&gt;0,"AL",IF(COUNTIFS(LeaveName,'設定'!$B$12,LeaveDate,"="&amp;($D$3+3*7+3),LeaveType,"SL")&gt;0,"SL",IF('設定'!$B$12="","",IF('設定'!$C$12="S","S",IF('設定'!$C$12="R",IF(MOD(INT((($D$3+3*7+3-WEEKDAY($D$3+3*7+3,2)+1)-'設定'!$B$4)/7)+IF('設定'!$D$12="",0,'設定'!$D$12),16)&lt;4,"A",IF(MOD(INT((($D$3+3*7+3-WEEKDAY($D$3+3*7+3,2)+1)-'設定'!$B$4)/7)+IF('設定'!$D$12="",0,'設定'!$D$12),16)&lt;8,"P",IF(MOD(INT((($D$3+3*7+3-WEEKDAY($D$3+3*7+3,2)+1)-'設定'!$B$4)/7)+IF('設定'!$D$12="",0,'設定'!$D$12),16)&lt;12,"N","P"))),""))))))</f>
        <v/>
      </c>
      <c r="E36" s="44">
        <f>IF(OR(E30="",'設定'!$B$12=""),"",IF(COUNTIFS(LeaveName,'設定'!$B$12,LeaveDate,"="&amp;($D$3+3*7+4),LeaveType,"AL")&gt;0,"AL",IF(COUNTIFS(LeaveName,'設定'!$B$12,LeaveDate,"="&amp;($D$3+3*7+4),LeaveType,"SL")&gt;0,"SL",IF('設定'!$B$12="","",IF('設定'!$C$12="S","S",IF('設定'!$C$12="R",IF(MOD(INT((($D$3+3*7+4-WEEKDAY($D$3+3*7+4,2)+1)-'設定'!$B$4)/7)+IF('設定'!$D$12="",0,'設定'!$D$12),16)&lt;4,"A",IF(MOD(INT((($D$3+3*7+4-WEEKDAY($D$3+3*7+4,2)+1)-'設定'!$B$4)/7)+IF('設定'!$D$12="",0,'設定'!$D$12),16)&lt;8,"P",IF(MOD(INT((($D$3+3*7+4-WEEKDAY($D$3+3*7+4,2)+1)-'設定'!$B$4)/7)+IF('設定'!$D$12="",0,'設定'!$D$12),16)&lt;12,"N","P"))),""))))))</f>
        <v/>
      </c>
      <c r="F36" s="44">
        <f>IF(OR(F30="",'設定'!$B$12=""),"",IF(COUNTIFS(LeaveName,'設定'!$B$12,LeaveDate,"="&amp;($D$3+3*7+5),LeaveType,"AL")&gt;0,"AL",IF(COUNTIFS(LeaveName,'設定'!$B$12,LeaveDate,"="&amp;($D$3+3*7+5),LeaveType,"SL")&gt;0,"SL",IF('設定'!$B$12="","",IF('設定'!$C$12="S","S",IF('設定'!$C$12="R",IF(MOD(INT((($D$3+3*7+5-WEEKDAY($D$3+3*7+5,2)+1)-'設定'!$B$4)/7)+IF('設定'!$D$12="",0,'設定'!$D$12),16)&lt;4,"A",IF(MOD(INT((($D$3+3*7+5-WEEKDAY($D$3+3*7+5,2)+1)-'設定'!$B$4)/7)+IF('設定'!$D$12="",0,'設定'!$D$12),16)&lt;8,"P",IF(MOD(INT((($D$3+3*7+5-WEEKDAY($D$3+3*7+5,2)+1)-'設定'!$B$4)/7)+IF('設定'!$D$12="",0,'設定'!$D$12),16)&lt;12,"N","P"))),""))))))</f>
        <v/>
      </c>
      <c r="G36" s="44">
        <f>IF(OR(G30="",'設定'!$B$12=""),"",IF(COUNTIFS(LeaveName,'設定'!$B$12,LeaveDate,"="&amp;($D$3+3*7+6),LeaveType,"AL")&gt;0,"AL",IF(COUNTIFS(LeaveName,'設定'!$B$12,LeaveDate,"="&amp;($D$3+3*7+6),LeaveType,"SL")&gt;0,"SL",IF('設定'!$B$12="","",IF('設定'!$C$12="S","S",IF('設定'!$C$12="R",IF(MOD(INT((($D$3+3*7+6-WEEKDAY($D$3+3*7+6,2)+1)-'設定'!$B$4)/7)+IF('設定'!$D$12="",0,'設定'!$D$12),16)&lt;4,"A",IF(MOD(INT((($D$3+3*7+6-WEEKDAY($D$3+3*7+6,2)+1)-'設定'!$B$4)/7)+IF('設定'!$D$12="",0,'設定'!$D$12),16)&lt;8,"P",IF(MOD(INT((($D$3+3*7+6-WEEKDAY($D$3+3*7+6,2)+1)-'設定'!$B$4)/7)+IF('設定'!$D$12="",0,'設定'!$D$12),16)&lt;12,"N","P"))),""))))))</f>
        <v/>
      </c>
      <c r="I36" s="45">
        <f>'設定'!B12</f>
        <v/>
      </c>
    </row>
    <row r="37">
      <c r="A37" s="44">
        <f>IF(OR(A30="",'設定'!$B$13=""),"",IF(COUNTIFS(LeaveName,'設定'!$B$13,LeaveDate,"="&amp;($D$3+3*7+0),LeaveType,"AL")&gt;0,"AL",IF(COUNTIFS(LeaveName,'設定'!$B$13,LeaveDate,"="&amp;($D$3+3*7+0),LeaveType,"SL")&gt;0,"SL",IF('設定'!$B$13="","",IF('設定'!$C$13="S","S",IF('設定'!$C$13="R",IF(MOD(INT((($D$3+3*7+0-WEEKDAY($D$3+3*7+0,2)+1)-'設定'!$B$4)/7)+IF('設定'!$D$13="",0,'設定'!$D$13),16)&lt;4,"A",IF(MOD(INT((($D$3+3*7+0-WEEKDAY($D$3+3*7+0,2)+1)-'設定'!$B$4)/7)+IF('設定'!$D$13="",0,'設定'!$D$13),16)&lt;8,"P",IF(MOD(INT((($D$3+3*7+0-WEEKDAY($D$3+3*7+0,2)+1)-'設定'!$B$4)/7)+IF('設定'!$D$13="",0,'設定'!$D$13),16)&lt;12,"N","P"))),""))))))</f>
        <v/>
      </c>
      <c r="B37" s="44">
        <f>IF(OR(B30="",'設定'!$B$13=""),"",IF(COUNTIFS(LeaveName,'設定'!$B$13,LeaveDate,"="&amp;($D$3+3*7+1),LeaveType,"AL")&gt;0,"AL",IF(COUNTIFS(LeaveName,'設定'!$B$13,LeaveDate,"="&amp;($D$3+3*7+1),LeaveType,"SL")&gt;0,"SL",IF('設定'!$B$13="","",IF('設定'!$C$13="S","S",IF('設定'!$C$13="R",IF(MOD(INT((($D$3+3*7+1-WEEKDAY($D$3+3*7+1,2)+1)-'設定'!$B$4)/7)+IF('設定'!$D$13="",0,'設定'!$D$13),16)&lt;4,"A",IF(MOD(INT((($D$3+3*7+1-WEEKDAY($D$3+3*7+1,2)+1)-'設定'!$B$4)/7)+IF('設定'!$D$13="",0,'設定'!$D$13),16)&lt;8,"P",IF(MOD(INT((($D$3+3*7+1-WEEKDAY($D$3+3*7+1,2)+1)-'設定'!$B$4)/7)+IF('設定'!$D$13="",0,'設定'!$D$13),16)&lt;12,"N","P"))),""))))))</f>
        <v/>
      </c>
      <c r="C37" s="44">
        <f>IF(OR(C30="",'設定'!$B$13=""),"",IF(COUNTIFS(LeaveName,'設定'!$B$13,LeaveDate,"="&amp;($D$3+3*7+2),LeaveType,"AL")&gt;0,"AL",IF(COUNTIFS(LeaveName,'設定'!$B$13,LeaveDate,"="&amp;($D$3+3*7+2),LeaveType,"SL")&gt;0,"SL",IF('設定'!$B$13="","",IF('設定'!$C$13="S","S",IF('設定'!$C$13="R",IF(MOD(INT((($D$3+3*7+2-WEEKDAY($D$3+3*7+2,2)+1)-'設定'!$B$4)/7)+IF('設定'!$D$13="",0,'設定'!$D$13),16)&lt;4,"A",IF(MOD(INT((($D$3+3*7+2-WEEKDAY($D$3+3*7+2,2)+1)-'設定'!$B$4)/7)+IF('設定'!$D$13="",0,'設定'!$D$13),16)&lt;8,"P",IF(MOD(INT((($D$3+3*7+2-WEEKDAY($D$3+3*7+2,2)+1)-'設定'!$B$4)/7)+IF('設定'!$D$13="",0,'設定'!$D$13),16)&lt;12,"N","P"))),""))))))</f>
        <v/>
      </c>
      <c r="D37" s="44">
        <f>IF(OR(D30="",'設定'!$B$13=""),"",IF(COUNTIFS(LeaveName,'設定'!$B$13,LeaveDate,"="&amp;($D$3+3*7+3),LeaveType,"AL")&gt;0,"AL",IF(COUNTIFS(LeaveName,'設定'!$B$13,LeaveDate,"="&amp;($D$3+3*7+3),LeaveType,"SL")&gt;0,"SL",IF('設定'!$B$13="","",IF('設定'!$C$13="S","S",IF('設定'!$C$13="R",IF(MOD(INT((($D$3+3*7+3-WEEKDAY($D$3+3*7+3,2)+1)-'設定'!$B$4)/7)+IF('設定'!$D$13="",0,'設定'!$D$13),16)&lt;4,"A",IF(MOD(INT((($D$3+3*7+3-WEEKDAY($D$3+3*7+3,2)+1)-'設定'!$B$4)/7)+IF('設定'!$D$13="",0,'設定'!$D$13),16)&lt;8,"P",IF(MOD(INT((($D$3+3*7+3-WEEKDAY($D$3+3*7+3,2)+1)-'設定'!$B$4)/7)+IF('設定'!$D$13="",0,'設定'!$D$13),16)&lt;12,"N","P"))),""))))))</f>
        <v/>
      </c>
      <c r="E37" s="44">
        <f>IF(OR(E30="",'設定'!$B$13=""),"",IF(COUNTIFS(LeaveName,'設定'!$B$13,LeaveDate,"="&amp;($D$3+3*7+4),LeaveType,"AL")&gt;0,"AL",IF(COUNTIFS(LeaveName,'設定'!$B$13,LeaveDate,"="&amp;($D$3+3*7+4),LeaveType,"SL")&gt;0,"SL",IF('設定'!$B$13="","",IF('設定'!$C$13="S","S",IF('設定'!$C$13="R",IF(MOD(INT((($D$3+3*7+4-WEEKDAY($D$3+3*7+4,2)+1)-'設定'!$B$4)/7)+IF('設定'!$D$13="",0,'設定'!$D$13),16)&lt;4,"A",IF(MOD(INT((($D$3+3*7+4-WEEKDAY($D$3+3*7+4,2)+1)-'設定'!$B$4)/7)+IF('設定'!$D$13="",0,'設定'!$D$13),16)&lt;8,"P",IF(MOD(INT((($D$3+3*7+4-WEEKDAY($D$3+3*7+4,2)+1)-'設定'!$B$4)/7)+IF('設定'!$D$13="",0,'設定'!$D$13),16)&lt;12,"N","P"))),""))))))</f>
        <v/>
      </c>
      <c r="F37" s="44">
        <f>IF(OR(F30="",'設定'!$B$13=""),"",IF(COUNTIFS(LeaveName,'設定'!$B$13,LeaveDate,"="&amp;($D$3+3*7+5),LeaveType,"AL")&gt;0,"AL",IF(COUNTIFS(LeaveName,'設定'!$B$13,LeaveDate,"="&amp;($D$3+3*7+5),LeaveType,"SL")&gt;0,"SL",IF('設定'!$B$13="","",IF('設定'!$C$13="S","S",IF('設定'!$C$13="R",IF(MOD(INT((($D$3+3*7+5-WEEKDAY($D$3+3*7+5,2)+1)-'設定'!$B$4)/7)+IF('設定'!$D$13="",0,'設定'!$D$13),16)&lt;4,"A",IF(MOD(INT((($D$3+3*7+5-WEEKDAY($D$3+3*7+5,2)+1)-'設定'!$B$4)/7)+IF('設定'!$D$13="",0,'設定'!$D$13),16)&lt;8,"P",IF(MOD(INT((($D$3+3*7+5-WEEKDAY($D$3+3*7+5,2)+1)-'設定'!$B$4)/7)+IF('設定'!$D$13="",0,'設定'!$D$13),16)&lt;12,"N","P"))),""))))))</f>
        <v/>
      </c>
      <c r="G37" s="44">
        <f>IF(OR(G30="",'設定'!$B$13=""),"",IF(COUNTIFS(LeaveName,'設定'!$B$13,LeaveDate,"="&amp;($D$3+3*7+6),LeaveType,"AL")&gt;0,"AL",IF(COUNTIFS(LeaveName,'設定'!$B$13,LeaveDate,"="&amp;($D$3+3*7+6),LeaveType,"SL")&gt;0,"SL",IF('設定'!$B$13="","",IF('設定'!$C$13="S","S",IF('設定'!$C$13="R",IF(MOD(INT((($D$3+3*7+6-WEEKDAY($D$3+3*7+6,2)+1)-'設定'!$B$4)/7)+IF('設定'!$D$13="",0,'設定'!$D$13),16)&lt;4,"A",IF(MOD(INT((($D$3+3*7+6-WEEKDAY($D$3+3*7+6,2)+1)-'設定'!$B$4)/7)+IF('設定'!$D$13="",0,'設定'!$D$13),16)&lt;8,"P",IF(MOD(INT((($D$3+3*7+6-WEEKDAY($D$3+3*7+6,2)+1)-'設定'!$B$4)/7)+IF('設定'!$D$13="",0,'設定'!$D$13),16)&lt;12,"N","P"))),""))))))</f>
        <v/>
      </c>
      <c r="I37" s="45">
        <f>'設定'!B13</f>
        <v/>
      </c>
    </row>
    <row r="38">
      <c r="A38" s="41">
        <f>IF(OR(MONTH($D$3+4*7+0)&lt;&gt;MONTH($B$3),YEAR($D$3+4*7+0)&lt;&gt;YEAR($B$3)),"",$D$3+4*7+0)</f>
        <v/>
      </c>
      <c r="B38" s="41">
        <f>IF(OR(MONTH($D$3+4*7+1)&lt;&gt;MONTH($B$3),YEAR($D$3+4*7+1)&lt;&gt;YEAR($B$3)),"",$D$3+4*7+1)</f>
        <v/>
      </c>
      <c r="C38" s="41">
        <f>IF(OR(MONTH($D$3+4*7+2)&lt;&gt;MONTH($B$3),YEAR($D$3+4*7+2)&lt;&gt;YEAR($B$3)),"",$D$3+4*7+2)</f>
        <v/>
      </c>
      <c r="D38" s="41">
        <f>IF(OR(MONTH($D$3+4*7+3)&lt;&gt;MONTH($B$3),YEAR($D$3+4*7+3)&lt;&gt;YEAR($B$3)),"",$D$3+4*7+3)</f>
        <v/>
      </c>
      <c r="E38" s="41">
        <f>IF(OR(MONTH($D$3+4*7+4)&lt;&gt;MONTH($B$3),YEAR($D$3+4*7+4)&lt;&gt;YEAR($B$3)),"",$D$3+4*7+4)</f>
        <v/>
      </c>
      <c r="F38" s="41">
        <f>IF(OR(MONTH($D$3+4*7+5)&lt;&gt;MONTH($B$3),YEAR($D$3+4*7+5)&lt;&gt;YEAR($B$3)),"",$D$3+4*7+5)</f>
        <v/>
      </c>
      <c r="G38" s="41">
        <f>IF(OR(MONTH($D$3+4*7+6)&lt;&gt;MONTH($B$3),YEAR($D$3+4*7+6)&lt;&gt;YEAR($B$3)),"",$D$3+4*7+6)</f>
        <v/>
      </c>
      <c r="I38" s="42" t="inlineStr">
        <is>
          <t>日期</t>
        </is>
      </c>
    </row>
    <row r="39">
      <c r="A39" s="43">
        <f>IF(A38="","",IFERROR(INDEX(HolidayNames,MATCH($D$3+4*7+0,HolidayDates,0)),""))</f>
        <v/>
      </c>
      <c r="B39" s="43">
        <f>IF(B38="","",IFERROR(INDEX(HolidayNames,MATCH($D$3+4*7+1,HolidayDates,0)),""))</f>
        <v/>
      </c>
      <c r="C39" s="43">
        <f>IF(C38="","",IFERROR(INDEX(HolidayNames,MATCH($D$3+4*7+2,HolidayDates,0)),""))</f>
        <v/>
      </c>
      <c r="D39" s="43">
        <f>IF(D38="","",IFERROR(INDEX(HolidayNames,MATCH($D$3+4*7+3,HolidayDates,0)),""))</f>
        <v/>
      </c>
      <c r="E39" s="43">
        <f>IF(E38="","",IFERROR(INDEX(HolidayNames,MATCH($D$3+4*7+4,HolidayDates,0)),""))</f>
        <v/>
      </c>
      <c r="F39" s="43">
        <f>IF(F38="","",IFERROR(INDEX(HolidayNames,MATCH($D$3+4*7+5,HolidayDates,0)),""))</f>
        <v/>
      </c>
      <c r="G39" s="43">
        <f>IF(G38="","",IFERROR(INDEX(HolidayNames,MATCH($D$3+4*7+6,HolidayDates,0)),""))</f>
        <v/>
      </c>
      <c r="I39" s="42" t="inlineStr">
        <is>
          <t>公眾假期</t>
        </is>
      </c>
    </row>
    <row r="40">
      <c r="A40" s="44">
        <f>IF(OR(A38="",'設定'!$B$8=""),"",IF(COUNTIFS(LeaveName,'設定'!$B$8,LeaveDate,"="&amp;($D$3+4*7+0),LeaveType,"AL")&gt;0,"AL",IF(COUNTIFS(LeaveName,'設定'!$B$8,LeaveDate,"="&amp;($D$3+4*7+0),LeaveType,"SL")&gt;0,"SL",IF('設定'!$B$8="","",IF('設定'!$C$8="S","S",IF('設定'!$C$8="R",IF(MOD(INT((($D$3+4*7+0-WEEKDAY($D$3+4*7+0,2)+1)-'設定'!$B$4)/7)+IF('設定'!$D$8="",0,'設定'!$D$8),16)&lt;4,"A",IF(MOD(INT((($D$3+4*7+0-WEEKDAY($D$3+4*7+0,2)+1)-'設定'!$B$4)/7)+IF('設定'!$D$8="",0,'設定'!$D$8),16)&lt;8,"P",IF(MOD(INT((($D$3+4*7+0-WEEKDAY($D$3+4*7+0,2)+1)-'設定'!$B$4)/7)+IF('設定'!$D$8="",0,'設定'!$D$8),16)&lt;12,"N","P"))),""))))))</f>
        <v/>
      </c>
      <c r="B40" s="44">
        <f>IF(OR(B38="",'設定'!$B$8=""),"",IF(COUNTIFS(LeaveName,'設定'!$B$8,LeaveDate,"="&amp;($D$3+4*7+1),LeaveType,"AL")&gt;0,"AL",IF(COUNTIFS(LeaveName,'設定'!$B$8,LeaveDate,"="&amp;($D$3+4*7+1),LeaveType,"SL")&gt;0,"SL",IF('設定'!$B$8="","",IF('設定'!$C$8="S","S",IF('設定'!$C$8="R",IF(MOD(INT((($D$3+4*7+1-WEEKDAY($D$3+4*7+1,2)+1)-'設定'!$B$4)/7)+IF('設定'!$D$8="",0,'設定'!$D$8),16)&lt;4,"A",IF(MOD(INT((($D$3+4*7+1-WEEKDAY($D$3+4*7+1,2)+1)-'設定'!$B$4)/7)+IF('設定'!$D$8="",0,'設定'!$D$8),16)&lt;8,"P",IF(MOD(INT((($D$3+4*7+1-WEEKDAY($D$3+4*7+1,2)+1)-'設定'!$B$4)/7)+IF('設定'!$D$8="",0,'設定'!$D$8),16)&lt;12,"N","P"))),""))))))</f>
        <v/>
      </c>
      <c r="C40" s="44">
        <f>IF(OR(C38="",'設定'!$B$8=""),"",IF(COUNTIFS(LeaveName,'設定'!$B$8,LeaveDate,"="&amp;($D$3+4*7+2),LeaveType,"AL")&gt;0,"AL",IF(COUNTIFS(LeaveName,'設定'!$B$8,LeaveDate,"="&amp;($D$3+4*7+2),LeaveType,"SL")&gt;0,"SL",IF('設定'!$B$8="","",IF('設定'!$C$8="S","S",IF('設定'!$C$8="R",IF(MOD(INT((($D$3+4*7+2-WEEKDAY($D$3+4*7+2,2)+1)-'設定'!$B$4)/7)+IF('設定'!$D$8="",0,'設定'!$D$8),16)&lt;4,"A",IF(MOD(INT((($D$3+4*7+2-WEEKDAY($D$3+4*7+2,2)+1)-'設定'!$B$4)/7)+IF('設定'!$D$8="",0,'設定'!$D$8),16)&lt;8,"P",IF(MOD(INT((($D$3+4*7+2-WEEKDAY($D$3+4*7+2,2)+1)-'設定'!$B$4)/7)+IF('設定'!$D$8="",0,'設定'!$D$8),16)&lt;12,"N","P"))),""))))))</f>
        <v/>
      </c>
      <c r="D40" s="44">
        <f>IF(OR(D38="",'設定'!$B$8=""),"",IF(COUNTIFS(LeaveName,'設定'!$B$8,LeaveDate,"="&amp;($D$3+4*7+3),LeaveType,"AL")&gt;0,"AL",IF(COUNTIFS(LeaveName,'設定'!$B$8,LeaveDate,"="&amp;($D$3+4*7+3),LeaveType,"SL")&gt;0,"SL",IF('設定'!$B$8="","",IF('設定'!$C$8="S","S",IF('設定'!$C$8="R",IF(MOD(INT((($D$3+4*7+3-WEEKDAY($D$3+4*7+3,2)+1)-'設定'!$B$4)/7)+IF('設定'!$D$8="",0,'設定'!$D$8),16)&lt;4,"A",IF(MOD(INT((($D$3+4*7+3-WEEKDAY($D$3+4*7+3,2)+1)-'設定'!$B$4)/7)+IF('設定'!$D$8="",0,'設定'!$D$8),16)&lt;8,"P",IF(MOD(INT((($D$3+4*7+3-WEEKDAY($D$3+4*7+3,2)+1)-'設定'!$B$4)/7)+IF('設定'!$D$8="",0,'設定'!$D$8),16)&lt;12,"N","P"))),""))))))</f>
        <v/>
      </c>
      <c r="E40" s="44">
        <f>IF(OR(E38="",'設定'!$B$8=""),"",IF(COUNTIFS(LeaveName,'設定'!$B$8,LeaveDate,"="&amp;($D$3+4*7+4),LeaveType,"AL")&gt;0,"AL",IF(COUNTIFS(LeaveName,'設定'!$B$8,LeaveDate,"="&amp;($D$3+4*7+4),LeaveType,"SL")&gt;0,"SL",IF('設定'!$B$8="","",IF('設定'!$C$8="S","S",IF('設定'!$C$8="R",IF(MOD(INT((($D$3+4*7+4-WEEKDAY($D$3+4*7+4,2)+1)-'設定'!$B$4)/7)+IF('設定'!$D$8="",0,'設定'!$D$8),16)&lt;4,"A",IF(MOD(INT((($D$3+4*7+4-WEEKDAY($D$3+4*7+4,2)+1)-'設定'!$B$4)/7)+IF('設定'!$D$8="",0,'設定'!$D$8),16)&lt;8,"P",IF(MOD(INT((($D$3+4*7+4-WEEKDAY($D$3+4*7+4,2)+1)-'設定'!$B$4)/7)+IF('設定'!$D$8="",0,'設定'!$D$8),16)&lt;12,"N","P"))),""))))))</f>
        <v/>
      </c>
      <c r="F40" s="44">
        <f>IF(OR(F38="",'設定'!$B$8=""),"",IF(COUNTIFS(LeaveName,'設定'!$B$8,LeaveDate,"="&amp;($D$3+4*7+5),LeaveType,"AL")&gt;0,"AL",IF(COUNTIFS(LeaveName,'設定'!$B$8,LeaveDate,"="&amp;($D$3+4*7+5),LeaveType,"SL")&gt;0,"SL",IF('設定'!$B$8="","",IF('設定'!$C$8="S","S",IF('設定'!$C$8="R",IF(MOD(INT((($D$3+4*7+5-WEEKDAY($D$3+4*7+5,2)+1)-'設定'!$B$4)/7)+IF('設定'!$D$8="",0,'設定'!$D$8),16)&lt;4,"A",IF(MOD(INT((($D$3+4*7+5-WEEKDAY($D$3+4*7+5,2)+1)-'設定'!$B$4)/7)+IF('設定'!$D$8="",0,'設定'!$D$8),16)&lt;8,"P",IF(MOD(INT((($D$3+4*7+5-WEEKDAY($D$3+4*7+5,2)+1)-'設定'!$B$4)/7)+IF('設定'!$D$8="",0,'設定'!$D$8),16)&lt;12,"N","P"))),""))))))</f>
        <v/>
      </c>
      <c r="G40" s="44">
        <f>IF(OR(G38="",'設定'!$B$8=""),"",IF(COUNTIFS(LeaveName,'設定'!$B$8,LeaveDate,"="&amp;($D$3+4*7+6),LeaveType,"AL")&gt;0,"AL",IF(COUNTIFS(LeaveName,'設定'!$B$8,LeaveDate,"="&amp;($D$3+4*7+6),LeaveType,"SL")&gt;0,"SL",IF('設定'!$B$8="","",IF('設定'!$C$8="S","S",IF('設定'!$C$8="R",IF(MOD(INT((($D$3+4*7+6-WEEKDAY($D$3+4*7+6,2)+1)-'設定'!$B$4)/7)+IF('設定'!$D$8="",0,'設定'!$D$8),16)&lt;4,"A",IF(MOD(INT((($D$3+4*7+6-WEEKDAY($D$3+4*7+6,2)+1)-'設定'!$B$4)/7)+IF('設定'!$D$8="",0,'設定'!$D$8),16)&lt;8,"P",IF(MOD(INT((($D$3+4*7+6-WEEKDAY($D$3+4*7+6,2)+1)-'設定'!$B$4)/7)+IF('設定'!$D$8="",0,'設定'!$D$8),16)&lt;12,"N","P"))),""))))))</f>
        <v/>
      </c>
      <c r="I40" s="45">
        <f>'設定'!B8</f>
        <v/>
      </c>
    </row>
    <row r="41">
      <c r="A41" s="44">
        <f>IF(OR(A38="",'設定'!$B$9=""),"",IF(COUNTIFS(LeaveName,'設定'!$B$9,LeaveDate,"="&amp;($D$3+4*7+0),LeaveType,"AL")&gt;0,"AL",IF(COUNTIFS(LeaveName,'設定'!$B$9,LeaveDate,"="&amp;($D$3+4*7+0),LeaveType,"SL")&gt;0,"SL",IF('設定'!$B$9="","",IF('設定'!$C$9="S","S",IF('設定'!$C$9="R",IF(MOD(INT((($D$3+4*7+0-WEEKDAY($D$3+4*7+0,2)+1)-'設定'!$B$4)/7)+IF('設定'!$D$9="",0,'設定'!$D$9),16)&lt;4,"A",IF(MOD(INT((($D$3+4*7+0-WEEKDAY($D$3+4*7+0,2)+1)-'設定'!$B$4)/7)+IF('設定'!$D$9="",0,'設定'!$D$9),16)&lt;8,"P",IF(MOD(INT((($D$3+4*7+0-WEEKDAY($D$3+4*7+0,2)+1)-'設定'!$B$4)/7)+IF('設定'!$D$9="",0,'設定'!$D$9),16)&lt;12,"N","P"))),""))))))</f>
        <v/>
      </c>
      <c r="B41" s="44">
        <f>IF(OR(B38="",'設定'!$B$9=""),"",IF(COUNTIFS(LeaveName,'設定'!$B$9,LeaveDate,"="&amp;($D$3+4*7+1),LeaveType,"AL")&gt;0,"AL",IF(COUNTIFS(LeaveName,'設定'!$B$9,LeaveDate,"="&amp;($D$3+4*7+1),LeaveType,"SL")&gt;0,"SL",IF('設定'!$B$9="","",IF('設定'!$C$9="S","S",IF('設定'!$C$9="R",IF(MOD(INT((($D$3+4*7+1-WEEKDAY($D$3+4*7+1,2)+1)-'設定'!$B$4)/7)+IF('設定'!$D$9="",0,'設定'!$D$9),16)&lt;4,"A",IF(MOD(INT((($D$3+4*7+1-WEEKDAY($D$3+4*7+1,2)+1)-'設定'!$B$4)/7)+IF('設定'!$D$9="",0,'設定'!$D$9),16)&lt;8,"P",IF(MOD(INT((($D$3+4*7+1-WEEKDAY($D$3+4*7+1,2)+1)-'設定'!$B$4)/7)+IF('設定'!$D$9="",0,'設定'!$D$9),16)&lt;12,"N","P"))),""))))))</f>
        <v/>
      </c>
      <c r="C41" s="44">
        <f>IF(OR(C38="",'設定'!$B$9=""),"",IF(COUNTIFS(LeaveName,'設定'!$B$9,LeaveDate,"="&amp;($D$3+4*7+2),LeaveType,"AL")&gt;0,"AL",IF(COUNTIFS(LeaveName,'設定'!$B$9,LeaveDate,"="&amp;($D$3+4*7+2),LeaveType,"SL")&gt;0,"SL",IF('設定'!$B$9="","",IF('設定'!$C$9="S","S",IF('設定'!$C$9="R",IF(MOD(INT((($D$3+4*7+2-WEEKDAY($D$3+4*7+2,2)+1)-'設定'!$B$4)/7)+IF('設定'!$D$9="",0,'設定'!$D$9),16)&lt;4,"A",IF(MOD(INT((($D$3+4*7+2-WEEKDAY($D$3+4*7+2,2)+1)-'設定'!$B$4)/7)+IF('設定'!$D$9="",0,'設定'!$D$9),16)&lt;8,"P",IF(MOD(INT((($D$3+4*7+2-WEEKDAY($D$3+4*7+2,2)+1)-'設定'!$B$4)/7)+IF('設定'!$D$9="",0,'設定'!$D$9),16)&lt;12,"N","P"))),""))))))</f>
        <v/>
      </c>
      <c r="D41" s="44">
        <f>IF(OR(D38="",'設定'!$B$9=""),"",IF(COUNTIFS(LeaveName,'設定'!$B$9,LeaveDate,"="&amp;($D$3+4*7+3),LeaveType,"AL")&gt;0,"AL",IF(COUNTIFS(LeaveName,'設定'!$B$9,LeaveDate,"="&amp;($D$3+4*7+3),LeaveType,"SL")&gt;0,"SL",IF('設定'!$B$9="","",IF('設定'!$C$9="S","S",IF('設定'!$C$9="R",IF(MOD(INT((($D$3+4*7+3-WEEKDAY($D$3+4*7+3,2)+1)-'設定'!$B$4)/7)+IF('設定'!$D$9="",0,'設定'!$D$9),16)&lt;4,"A",IF(MOD(INT((($D$3+4*7+3-WEEKDAY($D$3+4*7+3,2)+1)-'設定'!$B$4)/7)+IF('設定'!$D$9="",0,'設定'!$D$9),16)&lt;8,"P",IF(MOD(INT((($D$3+4*7+3-WEEKDAY($D$3+4*7+3,2)+1)-'設定'!$B$4)/7)+IF('設定'!$D$9="",0,'設定'!$D$9),16)&lt;12,"N","P"))),""))))))</f>
        <v/>
      </c>
      <c r="E41" s="44">
        <f>IF(OR(E38="",'設定'!$B$9=""),"",IF(COUNTIFS(LeaveName,'設定'!$B$9,LeaveDate,"="&amp;($D$3+4*7+4),LeaveType,"AL")&gt;0,"AL",IF(COUNTIFS(LeaveName,'設定'!$B$9,LeaveDate,"="&amp;($D$3+4*7+4),LeaveType,"SL")&gt;0,"SL",IF('設定'!$B$9="","",IF('設定'!$C$9="S","S",IF('設定'!$C$9="R",IF(MOD(INT((($D$3+4*7+4-WEEKDAY($D$3+4*7+4,2)+1)-'設定'!$B$4)/7)+IF('設定'!$D$9="",0,'設定'!$D$9),16)&lt;4,"A",IF(MOD(INT((($D$3+4*7+4-WEEKDAY($D$3+4*7+4,2)+1)-'設定'!$B$4)/7)+IF('設定'!$D$9="",0,'設定'!$D$9),16)&lt;8,"P",IF(MOD(INT((($D$3+4*7+4-WEEKDAY($D$3+4*7+4,2)+1)-'設定'!$B$4)/7)+IF('設定'!$D$9="",0,'設定'!$D$9),16)&lt;12,"N","P"))),""))))))</f>
        <v/>
      </c>
      <c r="F41" s="44">
        <f>IF(OR(F38="",'設定'!$B$9=""),"",IF(COUNTIFS(LeaveName,'設定'!$B$9,LeaveDate,"="&amp;($D$3+4*7+5),LeaveType,"AL")&gt;0,"AL",IF(COUNTIFS(LeaveName,'設定'!$B$9,LeaveDate,"="&amp;($D$3+4*7+5),LeaveType,"SL")&gt;0,"SL",IF('設定'!$B$9="","",IF('設定'!$C$9="S","S",IF('設定'!$C$9="R",IF(MOD(INT((($D$3+4*7+5-WEEKDAY($D$3+4*7+5,2)+1)-'設定'!$B$4)/7)+IF('設定'!$D$9="",0,'設定'!$D$9),16)&lt;4,"A",IF(MOD(INT((($D$3+4*7+5-WEEKDAY($D$3+4*7+5,2)+1)-'設定'!$B$4)/7)+IF('設定'!$D$9="",0,'設定'!$D$9),16)&lt;8,"P",IF(MOD(INT((($D$3+4*7+5-WEEKDAY($D$3+4*7+5,2)+1)-'設定'!$B$4)/7)+IF('設定'!$D$9="",0,'設定'!$D$9),16)&lt;12,"N","P"))),""))))))</f>
        <v/>
      </c>
      <c r="G41" s="44">
        <f>IF(OR(G38="",'設定'!$B$9=""),"",IF(COUNTIFS(LeaveName,'設定'!$B$9,LeaveDate,"="&amp;($D$3+4*7+6),LeaveType,"AL")&gt;0,"AL",IF(COUNTIFS(LeaveName,'設定'!$B$9,LeaveDate,"="&amp;($D$3+4*7+6),LeaveType,"SL")&gt;0,"SL",IF('設定'!$B$9="","",IF('設定'!$C$9="S","S",IF('設定'!$C$9="R",IF(MOD(INT((($D$3+4*7+6-WEEKDAY($D$3+4*7+6,2)+1)-'設定'!$B$4)/7)+IF('設定'!$D$9="",0,'設定'!$D$9),16)&lt;4,"A",IF(MOD(INT((($D$3+4*7+6-WEEKDAY($D$3+4*7+6,2)+1)-'設定'!$B$4)/7)+IF('設定'!$D$9="",0,'設定'!$D$9),16)&lt;8,"P",IF(MOD(INT((($D$3+4*7+6-WEEKDAY($D$3+4*7+6,2)+1)-'設定'!$B$4)/7)+IF('設定'!$D$9="",0,'設定'!$D$9),16)&lt;12,"N","P"))),""))))))</f>
        <v/>
      </c>
      <c r="I41" s="45">
        <f>'設定'!B9</f>
        <v/>
      </c>
    </row>
    <row r="42">
      <c r="A42" s="44">
        <f>IF(OR(A38="",'設定'!$B$10=""),"",IF(COUNTIFS(LeaveName,'設定'!$B$10,LeaveDate,"="&amp;($D$3+4*7+0),LeaveType,"AL")&gt;0,"AL",IF(COUNTIFS(LeaveName,'設定'!$B$10,LeaveDate,"="&amp;($D$3+4*7+0),LeaveType,"SL")&gt;0,"SL",IF('設定'!$B$10="","",IF('設定'!$C$10="S","S",IF('設定'!$C$10="R",IF(MOD(INT((($D$3+4*7+0-WEEKDAY($D$3+4*7+0,2)+1)-'設定'!$B$4)/7)+IF('設定'!$D$10="",0,'設定'!$D$10),16)&lt;4,"A",IF(MOD(INT((($D$3+4*7+0-WEEKDAY($D$3+4*7+0,2)+1)-'設定'!$B$4)/7)+IF('設定'!$D$10="",0,'設定'!$D$10),16)&lt;8,"P",IF(MOD(INT((($D$3+4*7+0-WEEKDAY($D$3+4*7+0,2)+1)-'設定'!$B$4)/7)+IF('設定'!$D$10="",0,'設定'!$D$10),16)&lt;12,"N","P"))),""))))))</f>
        <v/>
      </c>
      <c r="B42" s="44">
        <f>IF(OR(B38="",'設定'!$B$10=""),"",IF(COUNTIFS(LeaveName,'設定'!$B$10,LeaveDate,"="&amp;($D$3+4*7+1),LeaveType,"AL")&gt;0,"AL",IF(COUNTIFS(LeaveName,'設定'!$B$10,LeaveDate,"="&amp;($D$3+4*7+1),LeaveType,"SL")&gt;0,"SL",IF('設定'!$B$10="","",IF('設定'!$C$10="S","S",IF('設定'!$C$10="R",IF(MOD(INT((($D$3+4*7+1-WEEKDAY($D$3+4*7+1,2)+1)-'設定'!$B$4)/7)+IF('設定'!$D$10="",0,'設定'!$D$10),16)&lt;4,"A",IF(MOD(INT((($D$3+4*7+1-WEEKDAY($D$3+4*7+1,2)+1)-'設定'!$B$4)/7)+IF('設定'!$D$10="",0,'設定'!$D$10),16)&lt;8,"P",IF(MOD(INT((($D$3+4*7+1-WEEKDAY($D$3+4*7+1,2)+1)-'設定'!$B$4)/7)+IF('設定'!$D$10="",0,'設定'!$D$10),16)&lt;12,"N","P"))),""))))))</f>
        <v/>
      </c>
      <c r="C42" s="44">
        <f>IF(OR(C38="",'設定'!$B$10=""),"",IF(COUNTIFS(LeaveName,'設定'!$B$10,LeaveDate,"="&amp;($D$3+4*7+2),LeaveType,"AL")&gt;0,"AL",IF(COUNTIFS(LeaveName,'設定'!$B$10,LeaveDate,"="&amp;($D$3+4*7+2),LeaveType,"SL")&gt;0,"SL",IF('設定'!$B$10="","",IF('設定'!$C$10="S","S",IF('設定'!$C$10="R",IF(MOD(INT((($D$3+4*7+2-WEEKDAY($D$3+4*7+2,2)+1)-'設定'!$B$4)/7)+IF('設定'!$D$10="",0,'設定'!$D$10),16)&lt;4,"A",IF(MOD(INT((($D$3+4*7+2-WEEKDAY($D$3+4*7+2,2)+1)-'設定'!$B$4)/7)+IF('設定'!$D$10="",0,'設定'!$D$10),16)&lt;8,"P",IF(MOD(INT((($D$3+4*7+2-WEEKDAY($D$3+4*7+2,2)+1)-'設定'!$B$4)/7)+IF('設定'!$D$10="",0,'設定'!$D$10),16)&lt;12,"N","P"))),""))))))</f>
        <v/>
      </c>
      <c r="D42" s="44">
        <f>IF(OR(D38="",'設定'!$B$10=""),"",IF(COUNTIFS(LeaveName,'設定'!$B$10,LeaveDate,"="&amp;($D$3+4*7+3),LeaveType,"AL")&gt;0,"AL",IF(COUNTIFS(LeaveName,'設定'!$B$10,LeaveDate,"="&amp;($D$3+4*7+3),LeaveType,"SL")&gt;0,"SL",IF('設定'!$B$10="","",IF('設定'!$C$10="S","S",IF('設定'!$C$10="R",IF(MOD(INT((($D$3+4*7+3-WEEKDAY($D$3+4*7+3,2)+1)-'設定'!$B$4)/7)+IF('設定'!$D$10="",0,'設定'!$D$10),16)&lt;4,"A",IF(MOD(INT((($D$3+4*7+3-WEEKDAY($D$3+4*7+3,2)+1)-'設定'!$B$4)/7)+IF('設定'!$D$10="",0,'設定'!$D$10),16)&lt;8,"P",IF(MOD(INT((($D$3+4*7+3-WEEKDAY($D$3+4*7+3,2)+1)-'設定'!$B$4)/7)+IF('設定'!$D$10="",0,'設定'!$D$10),16)&lt;12,"N","P"))),""))))))</f>
        <v/>
      </c>
      <c r="E42" s="44">
        <f>IF(OR(E38="",'設定'!$B$10=""),"",IF(COUNTIFS(LeaveName,'設定'!$B$10,LeaveDate,"="&amp;($D$3+4*7+4),LeaveType,"AL")&gt;0,"AL",IF(COUNTIFS(LeaveName,'設定'!$B$10,LeaveDate,"="&amp;($D$3+4*7+4),LeaveType,"SL")&gt;0,"SL",IF('設定'!$B$10="","",IF('設定'!$C$10="S","S",IF('設定'!$C$10="R",IF(MOD(INT((($D$3+4*7+4-WEEKDAY($D$3+4*7+4,2)+1)-'設定'!$B$4)/7)+IF('設定'!$D$10="",0,'設定'!$D$10),16)&lt;4,"A",IF(MOD(INT((($D$3+4*7+4-WEEKDAY($D$3+4*7+4,2)+1)-'設定'!$B$4)/7)+IF('設定'!$D$10="",0,'設定'!$D$10),16)&lt;8,"P",IF(MOD(INT((($D$3+4*7+4-WEEKDAY($D$3+4*7+4,2)+1)-'設定'!$B$4)/7)+IF('設定'!$D$10="",0,'設定'!$D$10),16)&lt;12,"N","P"))),""))))))</f>
        <v/>
      </c>
      <c r="F42" s="44">
        <f>IF(OR(F38="",'設定'!$B$10=""),"",IF(COUNTIFS(LeaveName,'設定'!$B$10,LeaveDate,"="&amp;($D$3+4*7+5),LeaveType,"AL")&gt;0,"AL",IF(COUNTIFS(LeaveName,'設定'!$B$10,LeaveDate,"="&amp;($D$3+4*7+5),LeaveType,"SL")&gt;0,"SL",IF('設定'!$B$10="","",IF('設定'!$C$10="S","S",IF('設定'!$C$10="R",IF(MOD(INT((($D$3+4*7+5-WEEKDAY($D$3+4*7+5,2)+1)-'設定'!$B$4)/7)+IF('設定'!$D$10="",0,'設定'!$D$10),16)&lt;4,"A",IF(MOD(INT((($D$3+4*7+5-WEEKDAY($D$3+4*7+5,2)+1)-'設定'!$B$4)/7)+IF('設定'!$D$10="",0,'設定'!$D$10),16)&lt;8,"P",IF(MOD(INT((($D$3+4*7+5-WEEKDAY($D$3+4*7+5,2)+1)-'設定'!$B$4)/7)+IF('設定'!$D$10="",0,'設定'!$D$10),16)&lt;12,"N","P"))),""))))))</f>
        <v/>
      </c>
      <c r="G42" s="44">
        <f>IF(OR(G38="",'設定'!$B$10=""),"",IF(COUNTIFS(LeaveName,'設定'!$B$10,LeaveDate,"="&amp;($D$3+4*7+6),LeaveType,"AL")&gt;0,"AL",IF(COUNTIFS(LeaveName,'設定'!$B$10,LeaveDate,"="&amp;($D$3+4*7+6),LeaveType,"SL")&gt;0,"SL",IF('設定'!$B$10="","",IF('設定'!$C$10="S","S",IF('設定'!$C$10="R",IF(MOD(INT((($D$3+4*7+6-WEEKDAY($D$3+4*7+6,2)+1)-'設定'!$B$4)/7)+IF('設定'!$D$10="",0,'設定'!$D$10),16)&lt;4,"A",IF(MOD(INT((($D$3+4*7+6-WEEKDAY($D$3+4*7+6,2)+1)-'設定'!$B$4)/7)+IF('設定'!$D$10="",0,'設定'!$D$10),16)&lt;8,"P",IF(MOD(INT((($D$3+4*7+6-WEEKDAY($D$3+4*7+6,2)+1)-'設定'!$B$4)/7)+IF('設定'!$D$10="",0,'設定'!$D$10),16)&lt;12,"N","P"))),""))))))</f>
        <v/>
      </c>
      <c r="I42" s="45">
        <f>'設定'!B10</f>
        <v/>
      </c>
    </row>
    <row r="43">
      <c r="A43" s="44">
        <f>IF(OR(A38="",'設定'!$B$11=""),"",IF(COUNTIFS(LeaveName,'設定'!$B$11,LeaveDate,"="&amp;($D$3+4*7+0),LeaveType,"AL")&gt;0,"AL",IF(COUNTIFS(LeaveName,'設定'!$B$11,LeaveDate,"="&amp;($D$3+4*7+0),LeaveType,"SL")&gt;0,"SL",IF('設定'!$B$11="","",IF('設定'!$C$11="S","S",IF('設定'!$C$11="R",IF(MOD(INT((($D$3+4*7+0-WEEKDAY($D$3+4*7+0,2)+1)-'設定'!$B$4)/7)+IF('設定'!$D$11="",0,'設定'!$D$11),16)&lt;4,"A",IF(MOD(INT((($D$3+4*7+0-WEEKDAY($D$3+4*7+0,2)+1)-'設定'!$B$4)/7)+IF('設定'!$D$11="",0,'設定'!$D$11),16)&lt;8,"P",IF(MOD(INT((($D$3+4*7+0-WEEKDAY($D$3+4*7+0,2)+1)-'設定'!$B$4)/7)+IF('設定'!$D$11="",0,'設定'!$D$11),16)&lt;12,"N","P"))),""))))))</f>
        <v/>
      </c>
      <c r="B43" s="44">
        <f>IF(OR(B38="",'設定'!$B$11=""),"",IF(COUNTIFS(LeaveName,'設定'!$B$11,LeaveDate,"="&amp;($D$3+4*7+1),LeaveType,"AL")&gt;0,"AL",IF(COUNTIFS(LeaveName,'設定'!$B$11,LeaveDate,"="&amp;($D$3+4*7+1),LeaveType,"SL")&gt;0,"SL",IF('設定'!$B$11="","",IF('設定'!$C$11="S","S",IF('設定'!$C$11="R",IF(MOD(INT((($D$3+4*7+1-WEEKDAY($D$3+4*7+1,2)+1)-'設定'!$B$4)/7)+IF('設定'!$D$11="",0,'設定'!$D$11),16)&lt;4,"A",IF(MOD(INT((($D$3+4*7+1-WEEKDAY($D$3+4*7+1,2)+1)-'設定'!$B$4)/7)+IF('設定'!$D$11="",0,'設定'!$D$11),16)&lt;8,"P",IF(MOD(INT((($D$3+4*7+1-WEEKDAY($D$3+4*7+1,2)+1)-'設定'!$B$4)/7)+IF('設定'!$D$11="",0,'設定'!$D$11),16)&lt;12,"N","P"))),""))))))</f>
        <v/>
      </c>
      <c r="C43" s="44">
        <f>IF(OR(C38="",'設定'!$B$11=""),"",IF(COUNTIFS(LeaveName,'設定'!$B$11,LeaveDate,"="&amp;($D$3+4*7+2),LeaveType,"AL")&gt;0,"AL",IF(COUNTIFS(LeaveName,'設定'!$B$11,LeaveDate,"="&amp;($D$3+4*7+2),LeaveType,"SL")&gt;0,"SL",IF('設定'!$B$11="","",IF('設定'!$C$11="S","S",IF('設定'!$C$11="R",IF(MOD(INT((($D$3+4*7+2-WEEKDAY($D$3+4*7+2,2)+1)-'設定'!$B$4)/7)+IF('設定'!$D$11="",0,'設定'!$D$11),16)&lt;4,"A",IF(MOD(INT((($D$3+4*7+2-WEEKDAY($D$3+4*7+2,2)+1)-'設定'!$B$4)/7)+IF('設定'!$D$11="",0,'設定'!$D$11),16)&lt;8,"P",IF(MOD(INT((($D$3+4*7+2-WEEKDAY($D$3+4*7+2,2)+1)-'設定'!$B$4)/7)+IF('設定'!$D$11="",0,'設定'!$D$11),16)&lt;12,"N","P"))),""))))))</f>
        <v/>
      </c>
      <c r="D43" s="44">
        <f>IF(OR(D38="",'設定'!$B$11=""),"",IF(COUNTIFS(LeaveName,'設定'!$B$11,LeaveDate,"="&amp;($D$3+4*7+3),LeaveType,"AL")&gt;0,"AL",IF(COUNTIFS(LeaveName,'設定'!$B$11,LeaveDate,"="&amp;($D$3+4*7+3),LeaveType,"SL")&gt;0,"SL",IF('設定'!$B$11="","",IF('設定'!$C$11="S","S",IF('設定'!$C$11="R",IF(MOD(INT((($D$3+4*7+3-WEEKDAY($D$3+4*7+3,2)+1)-'設定'!$B$4)/7)+IF('設定'!$D$11="",0,'設定'!$D$11),16)&lt;4,"A",IF(MOD(INT((($D$3+4*7+3-WEEKDAY($D$3+4*7+3,2)+1)-'設定'!$B$4)/7)+IF('設定'!$D$11="",0,'設定'!$D$11),16)&lt;8,"P",IF(MOD(INT((($D$3+4*7+3-WEEKDAY($D$3+4*7+3,2)+1)-'設定'!$B$4)/7)+IF('設定'!$D$11="",0,'設定'!$D$11),16)&lt;12,"N","P"))),""))))))</f>
        <v/>
      </c>
      <c r="E43" s="44">
        <f>IF(OR(E38="",'設定'!$B$11=""),"",IF(COUNTIFS(LeaveName,'設定'!$B$11,LeaveDate,"="&amp;($D$3+4*7+4),LeaveType,"AL")&gt;0,"AL",IF(COUNTIFS(LeaveName,'設定'!$B$11,LeaveDate,"="&amp;($D$3+4*7+4),LeaveType,"SL")&gt;0,"SL",IF('設定'!$B$11="","",IF('設定'!$C$11="S","S",IF('設定'!$C$11="R",IF(MOD(INT((($D$3+4*7+4-WEEKDAY($D$3+4*7+4,2)+1)-'設定'!$B$4)/7)+IF('設定'!$D$11="",0,'設定'!$D$11),16)&lt;4,"A",IF(MOD(INT((($D$3+4*7+4-WEEKDAY($D$3+4*7+4,2)+1)-'設定'!$B$4)/7)+IF('設定'!$D$11="",0,'設定'!$D$11),16)&lt;8,"P",IF(MOD(INT((($D$3+4*7+4-WEEKDAY($D$3+4*7+4,2)+1)-'設定'!$B$4)/7)+IF('設定'!$D$11="",0,'設定'!$D$11),16)&lt;12,"N","P"))),""))))))</f>
        <v/>
      </c>
      <c r="F43" s="44">
        <f>IF(OR(F38="",'設定'!$B$11=""),"",IF(COUNTIFS(LeaveName,'設定'!$B$11,LeaveDate,"="&amp;($D$3+4*7+5),LeaveType,"AL")&gt;0,"AL",IF(COUNTIFS(LeaveName,'設定'!$B$11,LeaveDate,"="&amp;($D$3+4*7+5),LeaveType,"SL")&gt;0,"SL",IF('設定'!$B$11="","",IF('設定'!$C$11="S","S",IF('設定'!$C$11="R",IF(MOD(INT((($D$3+4*7+5-WEEKDAY($D$3+4*7+5,2)+1)-'設定'!$B$4)/7)+IF('設定'!$D$11="",0,'設定'!$D$11),16)&lt;4,"A",IF(MOD(INT((($D$3+4*7+5-WEEKDAY($D$3+4*7+5,2)+1)-'設定'!$B$4)/7)+IF('設定'!$D$11="",0,'設定'!$D$11),16)&lt;8,"P",IF(MOD(INT((($D$3+4*7+5-WEEKDAY($D$3+4*7+5,2)+1)-'設定'!$B$4)/7)+IF('設定'!$D$11="",0,'設定'!$D$11),16)&lt;12,"N","P"))),""))))))</f>
        <v/>
      </c>
      <c r="G43" s="44">
        <f>IF(OR(G38="",'設定'!$B$11=""),"",IF(COUNTIFS(LeaveName,'設定'!$B$11,LeaveDate,"="&amp;($D$3+4*7+6),LeaveType,"AL")&gt;0,"AL",IF(COUNTIFS(LeaveName,'設定'!$B$11,LeaveDate,"="&amp;($D$3+4*7+6),LeaveType,"SL")&gt;0,"SL",IF('設定'!$B$11="","",IF('設定'!$C$11="S","S",IF('設定'!$C$11="R",IF(MOD(INT((($D$3+4*7+6-WEEKDAY($D$3+4*7+6,2)+1)-'設定'!$B$4)/7)+IF('設定'!$D$11="",0,'設定'!$D$11),16)&lt;4,"A",IF(MOD(INT((($D$3+4*7+6-WEEKDAY($D$3+4*7+6,2)+1)-'設定'!$B$4)/7)+IF('設定'!$D$11="",0,'設定'!$D$11),16)&lt;8,"P",IF(MOD(INT((($D$3+4*7+6-WEEKDAY($D$3+4*7+6,2)+1)-'設定'!$B$4)/7)+IF('設定'!$D$11="",0,'設定'!$D$11),16)&lt;12,"N","P"))),""))))))</f>
        <v/>
      </c>
      <c r="I43" s="45">
        <f>'設定'!B11</f>
        <v/>
      </c>
    </row>
    <row r="44">
      <c r="A44" s="44">
        <f>IF(OR(A38="",'設定'!$B$12=""),"",IF(COUNTIFS(LeaveName,'設定'!$B$12,LeaveDate,"="&amp;($D$3+4*7+0),LeaveType,"AL")&gt;0,"AL",IF(COUNTIFS(LeaveName,'設定'!$B$12,LeaveDate,"="&amp;($D$3+4*7+0),LeaveType,"SL")&gt;0,"SL",IF('設定'!$B$12="","",IF('設定'!$C$12="S","S",IF('設定'!$C$12="R",IF(MOD(INT((($D$3+4*7+0-WEEKDAY($D$3+4*7+0,2)+1)-'設定'!$B$4)/7)+IF('設定'!$D$12="",0,'設定'!$D$12),16)&lt;4,"A",IF(MOD(INT((($D$3+4*7+0-WEEKDAY($D$3+4*7+0,2)+1)-'設定'!$B$4)/7)+IF('設定'!$D$12="",0,'設定'!$D$12),16)&lt;8,"P",IF(MOD(INT((($D$3+4*7+0-WEEKDAY($D$3+4*7+0,2)+1)-'設定'!$B$4)/7)+IF('設定'!$D$12="",0,'設定'!$D$12),16)&lt;12,"N","P"))),""))))))</f>
        <v/>
      </c>
      <c r="B44" s="44">
        <f>IF(OR(B38="",'設定'!$B$12=""),"",IF(COUNTIFS(LeaveName,'設定'!$B$12,LeaveDate,"="&amp;($D$3+4*7+1),LeaveType,"AL")&gt;0,"AL",IF(COUNTIFS(LeaveName,'設定'!$B$12,LeaveDate,"="&amp;($D$3+4*7+1),LeaveType,"SL")&gt;0,"SL",IF('設定'!$B$12="","",IF('設定'!$C$12="S","S",IF('設定'!$C$12="R",IF(MOD(INT((($D$3+4*7+1-WEEKDAY($D$3+4*7+1,2)+1)-'設定'!$B$4)/7)+IF('設定'!$D$12="",0,'設定'!$D$12),16)&lt;4,"A",IF(MOD(INT((($D$3+4*7+1-WEEKDAY($D$3+4*7+1,2)+1)-'設定'!$B$4)/7)+IF('設定'!$D$12="",0,'設定'!$D$12),16)&lt;8,"P",IF(MOD(INT((($D$3+4*7+1-WEEKDAY($D$3+4*7+1,2)+1)-'設定'!$B$4)/7)+IF('設定'!$D$12="",0,'設定'!$D$12),16)&lt;12,"N","P"))),""))))))</f>
        <v/>
      </c>
      <c r="C44" s="44">
        <f>IF(OR(C38="",'設定'!$B$12=""),"",IF(COUNTIFS(LeaveName,'設定'!$B$12,LeaveDate,"="&amp;($D$3+4*7+2),LeaveType,"AL")&gt;0,"AL",IF(COUNTIFS(LeaveName,'設定'!$B$12,LeaveDate,"="&amp;($D$3+4*7+2),LeaveType,"SL")&gt;0,"SL",IF('設定'!$B$12="","",IF('設定'!$C$12="S","S",IF('設定'!$C$12="R",IF(MOD(INT((($D$3+4*7+2-WEEKDAY($D$3+4*7+2,2)+1)-'設定'!$B$4)/7)+IF('設定'!$D$12="",0,'設定'!$D$12),16)&lt;4,"A",IF(MOD(INT((($D$3+4*7+2-WEEKDAY($D$3+4*7+2,2)+1)-'設定'!$B$4)/7)+IF('設定'!$D$12="",0,'設定'!$D$12),16)&lt;8,"P",IF(MOD(INT((($D$3+4*7+2-WEEKDAY($D$3+4*7+2,2)+1)-'設定'!$B$4)/7)+IF('設定'!$D$12="",0,'設定'!$D$12),16)&lt;12,"N","P"))),""))))))</f>
        <v/>
      </c>
      <c r="D44" s="44">
        <f>IF(OR(D38="",'設定'!$B$12=""),"",IF(COUNTIFS(LeaveName,'設定'!$B$12,LeaveDate,"="&amp;($D$3+4*7+3),LeaveType,"AL")&gt;0,"AL",IF(COUNTIFS(LeaveName,'設定'!$B$12,LeaveDate,"="&amp;($D$3+4*7+3),LeaveType,"SL")&gt;0,"SL",IF('設定'!$B$12="","",IF('設定'!$C$12="S","S",IF('設定'!$C$12="R",IF(MOD(INT((($D$3+4*7+3-WEEKDAY($D$3+4*7+3,2)+1)-'設定'!$B$4)/7)+IF('設定'!$D$12="",0,'設定'!$D$12),16)&lt;4,"A",IF(MOD(INT((($D$3+4*7+3-WEEKDAY($D$3+4*7+3,2)+1)-'設定'!$B$4)/7)+IF('設定'!$D$12="",0,'設定'!$D$12),16)&lt;8,"P",IF(MOD(INT((($D$3+4*7+3-WEEKDAY($D$3+4*7+3,2)+1)-'設定'!$B$4)/7)+IF('設定'!$D$12="",0,'設定'!$D$12),16)&lt;12,"N","P"))),""))))))</f>
        <v/>
      </c>
      <c r="E44" s="44">
        <f>IF(OR(E38="",'設定'!$B$12=""),"",IF(COUNTIFS(LeaveName,'設定'!$B$12,LeaveDate,"="&amp;($D$3+4*7+4),LeaveType,"AL")&gt;0,"AL",IF(COUNTIFS(LeaveName,'設定'!$B$12,LeaveDate,"="&amp;($D$3+4*7+4),LeaveType,"SL")&gt;0,"SL",IF('設定'!$B$12="","",IF('設定'!$C$12="S","S",IF('設定'!$C$12="R",IF(MOD(INT((($D$3+4*7+4-WEEKDAY($D$3+4*7+4,2)+1)-'設定'!$B$4)/7)+IF('設定'!$D$12="",0,'設定'!$D$12),16)&lt;4,"A",IF(MOD(INT((($D$3+4*7+4-WEEKDAY($D$3+4*7+4,2)+1)-'設定'!$B$4)/7)+IF('設定'!$D$12="",0,'設定'!$D$12),16)&lt;8,"P",IF(MOD(INT((($D$3+4*7+4-WEEKDAY($D$3+4*7+4,2)+1)-'設定'!$B$4)/7)+IF('設定'!$D$12="",0,'設定'!$D$12),16)&lt;12,"N","P"))),""))))))</f>
        <v/>
      </c>
      <c r="F44" s="44">
        <f>IF(OR(F38="",'設定'!$B$12=""),"",IF(COUNTIFS(LeaveName,'設定'!$B$12,LeaveDate,"="&amp;($D$3+4*7+5),LeaveType,"AL")&gt;0,"AL",IF(COUNTIFS(LeaveName,'設定'!$B$12,LeaveDate,"="&amp;($D$3+4*7+5),LeaveType,"SL")&gt;0,"SL",IF('設定'!$B$12="","",IF('設定'!$C$12="S","S",IF('設定'!$C$12="R",IF(MOD(INT((($D$3+4*7+5-WEEKDAY($D$3+4*7+5,2)+1)-'設定'!$B$4)/7)+IF('設定'!$D$12="",0,'設定'!$D$12),16)&lt;4,"A",IF(MOD(INT((($D$3+4*7+5-WEEKDAY($D$3+4*7+5,2)+1)-'設定'!$B$4)/7)+IF('設定'!$D$12="",0,'設定'!$D$12),16)&lt;8,"P",IF(MOD(INT((($D$3+4*7+5-WEEKDAY($D$3+4*7+5,2)+1)-'設定'!$B$4)/7)+IF('設定'!$D$12="",0,'設定'!$D$12),16)&lt;12,"N","P"))),""))))))</f>
        <v/>
      </c>
      <c r="G44" s="44">
        <f>IF(OR(G38="",'設定'!$B$12=""),"",IF(COUNTIFS(LeaveName,'設定'!$B$12,LeaveDate,"="&amp;($D$3+4*7+6),LeaveType,"AL")&gt;0,"AL",IF(COUNTIFS(LeaveName,'設定'!$B$12,LeaveDate,"="&amp;($D$3+4*7+6),LeaveType,"SL")&gt;0,"SL",IF('設定'!$B$12="","",IF('設定'!$C$12="S","S",IF('設定'!$C$12="R",IF(MOD(INT((($D$3+4*7+6-WEEKDAY($D$3+4*7+6,2)+1)-'設定'!$B$4)/7)+IF('設定'!$D$12="",0,'設定'!$D$12),16)&lt;4,"A",IF(MOD(INT((($D$3+4*7+6-WEEKDAY($D$3+4*7+6,2)+1)-'設定'!$B$4)/7)+IF('設定'!$D$12="",0,'設定'!$D$12),16)&lt;8,"P",IF(MOD(INT((($D$3+4*7+6-WEEKDAY($D$3+4*7+6,2)+1)-'設定'!$B$4)/7)+IF('設定'!$D$12="",0,'設定'!$D$12),16)&lt;12,"N","P"))),""))))))</f>
        <v/>
      </c>
      <c r="I44" s="45">
        <f>'設定'!B12</f>
        <v/>
      </c>
    </row>
    <row r="45">
      <c r="A45" s="44">
        <f>IF(OR(A38="",'設定'!$B$13=""),"",IF(COUNTIFS(LeaveName,'設定'!$B$13,LeaveDate,"="&amp;($D$3+4*7+0),LeaveType,"AL")&gt;0,"AL",IF(COUNTIFS(LeaveName,'設定'!$B$13,LeaveDate,"="&amp;($D$3+4*7+0),LeaveType,"SL")&gt;0,"SL",IF('設定'!$B$13="","",IF('設定'!$C$13="S","S",IF('設定'!$C$13="R",IF(MOD(INT((($D$3+4*7+0-WEEKDAY($D$3+4*7+0,2)+1)-'設定'!$B$4)/7)+IF('設定'!$D$13="",0,'設定'!$D$13),16)&lt;4,"A",IF(MOD(INT((($D$3+4*7+0-WEEKDAY($D$3+4*7+0,2)+1)-'設定'!$B$4)/7)+IF('設定'!$D$13="",0,'設定'!$D$13),16)&lt;8,"P",IF(MOD(INT((($D$3+4*7+0-WEEKDAY($D$3+4*7+0,2)+1)-'設定'!$B$4)/7)+IF('設定'!$D$13="",0,'設定'!$D$13),16)&lt;12,"N","P"))),""))))))</f>
        <v/>
      </c>
      <c r="B45" s="44">
        <f>IF(OR(B38="",'設定'!$B$13=""),"",IF(COUNTIFS(LeaveName,'設定'!$B$13,LeaveDate,"="&amp;($D$3+4*7+1),LeaveType,"AL")&gt;0,"AL",IF(COUNTIFS(LeaveName,'設定'!$B$13,LeaveDate,"="&amp;($D$3+4*7+1),LeaveType,"SL")&gt;0,"SL",IF('設定'!$B$13="","",IF('設定'!$C$13="S","S",IF('設定'!$C$13="R",IF(MOD(INT((($D$3+4*7+1-WEEKDAY($D$3+4*7+1,2)+1)-'設定'!$B$4)/7)+IF('設定'!$D$13="",0,'設定'!$D$13),16)&lt;4,"A",IF(MOD(INT((($D$3+4*7+1-WEEKDAY($D$3+4*7+1,2)+1)-'設定'!$B$4)/7)+IF('設定'!$D$13="",0,'設定'!$D$13),16)&lt;8,"P",IF(MOD(INT((($D$3+4*7+1-WEEKDAY($D$3+4*7+1,2)+1)-'設定'!$B$4)/7)+IF('設定'!$D$13="",0,'設定'!$D$13),16)&lt;12,"N","P"))),""))))))</f>
        <v/>
      </c>
      <c r="C45" s="44">
        <f>IF(OR(C38="",'設定'!$B$13=""),"",IF(COUNTIFS(LeaveName,'設定'!$B$13,LeaveDate,"="&amp;($D$3+4*7+2),LeaveType,"AL")&gt;0,"AL",IF(COUNTIFS(LeaveName,'設定'!$B$13,LeaveDate,"="&amp;($D$3+4*7+2),LeaveType,"SL")&gt;0,"SL",IF('設定'!$B$13="","",IF('設定'!$C$13="S","S",IF('設定'!$C$13="R",IF(MOD(INT((($D$3+4*7+2-WEEKDAY($D$3+4*7+2,2)+1)-'設定'!$B$4)/7)+IF('設定'!$D$13="",0,'設定'!$D$13),16)&lt;4,"A",IF(MOD(INT((($D$3+4*7+2-WEEKDAY($D$3+4*7+2,2)+1)-'設定'!$B$4)/7)+IF('設定'!$D$13="",0,'設定'!$D$13),16)&lt;8,"P",IF(MOD(INT((($D$3+4*7+2-WEEKDAY($D$3+4*7+2,2)+1)-'設定'!$B$4)/7)+IF('設定'!$D$13="",0,'設定'!$D$13),16)&lt;12,"N","P"))),""))))))</f>
        <v/>
      </c>
      <c r="D45" s="44">
        <f>IF(OR(D38="",'設定'!$B$13=""),"",IF(COUNTIFS(LeaveName,'設定'!$B$13,LeaveDate,"="&amp;($D$3+4*7+3),LeaveType,"AL")&gt;0,"AL",IF(COUNTIFS(LeaveName,'設定'!$B$13,LeaveDate,"="&amp;($D$3+4*7+3),LeaveType,"SL")&gt;0,"SL",IF('設定'!$B$13="","",IF('設定'!$C$13="S","S",IF('設定'!$C$13="R",IF(MOD(INT((($D$3+4*7+3-WEEKDAY($D$3+4*7+3,2)+1)-'設定'!$B$4)/7)+IF('設定'!$D$13="",0,'設定'!$D$13),16)&lt;4,"A",IF(MOD(INT((($D$3+4*7+3-WEEKDAY($D$3+4*7+3,2)+1)-'設定'!$B$4)/7)+IF('設定'!$D$13="",0,'設定'!$D$13),16)&lt;8,"P",IF(MOD(INT((($D$3+4*7+3-WEEKDAY($D$3+4*7+3,2)+1)-'設定'!$B$4)/7)+IF('設定'!$D$13="",0,'設定'!$D$13),16)&lt;12,"N","P"))),""))))))</f>
        <v/>
      </c>
      <c r="E45" s="44">
        <f>IF(OR(E38="",'設定'!$B$13=""),"",IF(COUNTIFS(LeaveName,'設定'!$B$13,LeaveDate,"="&amp;($D$3+4*7+4),LeaveType,"AL")&gt;0,"AL",IF(COUNTIFS(LeaveName,'設定'!$B$13,LeaveDate,"="&amp;($D$3+4*7+4),LeaveType,"SL")&gt;0,"SL",IF('設定'!$B$13="","",IF('設定'!$C$13="S","S",IF('設定'!$C$13="R",IF(MOD(INT((($D$3+4*7+4-WEEKDAY($D$3+4*7+4,2)+1)-'設定'!$B$4)/7)+IF('設定'!$D$13="",0,'設定'!$D$13),16)&lt;4,"A",IF(MOD(INT((($D$3+4*7+4-WEEKDAY($D$3+4*7+4,2)+1)-'設定'!$B$4)/7)+IF('設定'!$D$13="",0,'設定'!$D$13),16)&lt;8,"P",IF(MOD(INT((($D$3+4*7+4-WEEKDAY($D$3+4*7+4,2)+1)-'設定'!$B$4)/7)+IF('設定'!$D$13="",0,'設定'!$D$13),16)&lt;12,"N","P"))),""))))))</f>
        <v/>
      </c>
      <c r="F45" s="44">
        <f>IF(OR(F38="",'設定'!$B$13=""),"",IF(COUNTIFS(LeaveName,'設定'!$B$13,LeaveDate,"="&amp;($D$3+4*7+5),LeaveType,"AL")&gt;0,"AL",IF(COUNTIFS(LeaveName,'設定'!$B$13,LeaveDate,"="&amp;($D$3+4*7+5),LeaveType,"SL")&gt;0,"SL",IF('設定'!$B$13="","",IF('設定'!$C$13="S","S",IF('設定'!$C$13="R",IF(MOD(INT((($D$3+4*7+5-WEEKDAY($D$3+4*7+5,2)+1)-'設定'!$B$4)/7)+IF('設定'!$D$13="",0,'設定'!$D$13),16)&lt;4,"A",IF(MOD(INT((($D$3+4*7+5-WEEKDAY($D$3+4*7+5,2)+1)-'設定'!$B$4)/7)+IF('設定'!$D$13="",0,'設定'!$D$13),16)&lt;8,"P",IF(MOD(INT((($D$3+4*7+5-WEEKDAY($D$3+4*7+5,2)+1)-'設定'!$B$4)/7)+IF('設定'!$D$13="",0,'設定'!$D$13),16)&lt;12,"N","P"))),""))))))</f>
        <v/>
      </c>
      <c r="G45" s="44">
        <f>IF(OR(G38="",'設定'!$B$13=""),"",IF(COUNTIFS(LeaveName,'設定'!$B$13,LeaveDate,"="&amp;($D$3+4*7+6),LeaveType,"AL")&gt;0,"AL",IF(COUNTIFS(LeaveName,'設定'!$B$13,LeaveDate,"="&amp;($D$3+4*7+6),LeaveType,"SL")&gt;0,"SL",IF('設定'!$B$13="","",IF('設定'!$C$13="S","S",IF('設定'!$C$13="R",IF(MOD(INT((($D$3+4*7+6-WEEKDAY($D$3+4*7+6,2)+1)-'設定'!$B$4)/7)+IF('設定'!$D$13="",0,'設定'!$D$13),16)&lt;4,"A",IF(MOD(INT((($D$3+4*7+6-WEEKDAY($D$3+4*7+6,2)+1)-'設定'!$B$4)/7)+IF('設定'!$D$13="",0,'設定'!$D$13),16)&lt;8,"P",IF(MOD(INT((($D$3+4*7+6-WEEKDAY($D$3+4*7+6,2)+1)-'設定'!$B$4)/7)+IF('設定'!$D$13="",0,'設定'!$D$13),16)&lt;12,"N","P"))),""))))))</f>
        <v/>
      </c>
      <c r="I45" s="45">
        <f>'設定'!B13</f>
        <v/>
      </c>
    </row>
    <row r="46">
      <c r="A46" s="41">
        <f>IF(OR(MONTH($D$3+5*7+0)&lt;&gt;MONTH($B$3),YEAR($D$3+5*7+0)&lt;&gt;YEAR($B$3)),"",$D$3+5*7+0)</f>
        <v/>
      </c>
      <c r="B46" s="41">
        <f>IF(OR(MONTH($D$3+5*7+1)&lt;&gt;MONTH($B$3),YEAR($D$3+5*7+1)&lt;&gt;YEAR($B$3)),"",$D$3+5*7+1)</f>
        <v/>
      </c>
      <c r="C46" s="41">
        <f>IF(OR(MONTH($D$3+5*7+2)&lt;&gt;MONTH($B$3),YEAR($D$3+5*7+2)&lt;&gt;YEAR($B$3)),"",$D$3+5*7+2)</f>
        <v/>
      </c>
      <c r="D46" s="41">
        <f>IF(OR(MONTH($D$3+5*7+3)&lt;&gt;MONTH($B$3),YEAR($D$3+5*7+3)&lt;&gt;YEAR($B$3)),"",$D$3+5*7+3)</f>
        <v/>
      </c>
      <c r="E46" s="41">
        <f>IF(OR(MONTH($D$3+5*7+4)&lt;&gt;MONTH($B$3),YEAR($D$3+5*7+4)&lt;&gt;YEAR($B$3)),"",$D$3+5*7+4)</f>
        <v/>
      </c>
      <c r="F46" s="41">
        <f>IF(OR(MONTH($D$3+5*7+5)&lt;&gt;MONTH($B$3),YEAR($D$3+5*7+5)&lt;&gt;YEAR($B$3)),"",$D$3+5*7+5)</f>
        <v/>
      </c>
      <c r="G46" s="41">
        <f>IF(OR(MONTH($D$3+5*7+6)&lt;&gt;MONTH($B$3),YEAR($D$3+5*7+6)&lt;&gt;YEAR($B$3)),"",$D$3+5*7+6)</f>
        <v/>
      </c>
      <c r="I46" s="42" t="inlineStr">
        <is>
          <t>日期</t>
        </is>
      </c>
    </row>
    <row r="47">
      <c r="A47" s="43">
        <f>IF(A46="","",IFERROR(INDEX(HolidayNames,MATCH($D$3+5*7+0,HolidayDates,0)),""))</f>
        <v/>
      </c>
      <c r="B47" s="43">
        <f>IF(B46="","",IFERROR(INDEX(HolidayNames,MATCH($D$3+5*7+1,HolidayDates,0)),""))</f>
        <v/>
      </c>
      <c r="C47" s="43">
        <f>IF(C46="","",IFERROR(INDEX(HolidayNames,MATCH($D$3+5*7+2,HolidayDates,0)),""))</f>
        <v/>
      </c>
      <c r="D47" s="43">
        <f>IF(D46="","",IFERROR(INDEX(HolidayNames,MATCH($D$3+5*7+3,HolidayDates,0)),""))</f>
        <v/>
      </c>
      <c r="E47" s="43">
        <f>IF(E46="","",IFERROR(INDEX(HolidayNames,MATCH($D$3+5*7+4,HolidayDates,0)),""))</f>
        <v/>
      </c>
      <c r="F47" s="43">
        <f>IF(F46="","",IFERROR(INDEX(HolidayNames,MATCH($D$3+5*7+5,HolidayDates,0)),""))</f>
        <v/>
      </c>
      <c r="G47" s="43">
        <f>IF(G46="","",IFERROR(INDEX(HolidayNames,MATCH($D$3+5*7+6,HolidayDates,0)),""))</f>
        <v/>
      </c>
      <c r="I47" s="42" t="inlineStr">
        <is>
          <t>公眾假期</t>
        </is>
      </c>
    </row>
    <row r="48">
      <c r="A48" s="44">
        <f>IF(OR(A46="",'設定'!$B$8=""),"",IF(COUNTIFS(LeaveName,'設定'!$B$8,LeaveDate,"="&amp;($D$3+5*7+0),LeaveType,"AL")&gt;0,"AL",IF(COUNTIFS(LeaveName,'設定'!$B$8,LeaveDate,"="&amp;($D$3+5*7+0),LeaveType,"SL")&gt;0,"SL",IF('設定'!$B$8="","",IF('設定'!$C$8="S","S",IF('設定'!$C$8="R",IF(MOD(INT((($D$3+5*7+0-WEEKDAY($D$3+5*7+0,2)+1)-'設定'!$B$4)/7)+IF('設定'!$D$8="",0,'設定'!$D$8),16)&lt;4,"A",IF(MOD(INT((($D$3+5*7+0-WEEKDAY($D$3+5*7+0,2)+1)-'設定'!$B$4)/7)+IF('設定'!$D$8="",0,'設定'!$D$8),16)&lt;8,"P",IF(MOD(INT((($D$3+5*7+0-WEEKDAY($D$3+5*7+0,2)+1)-'設定'!$B$4)/7)+IF('設定'!$D$8="",0,'設定'!$D$8),16)&lt;12,"N","P"))),""))))))</f>
        <v/>
      </c>
      <c r="B48" s="44">
        <f>IF(OR(B46="",'設定'!$B$8=""),"",IF(COUNTIFS(LeaveName,'設定'!$B$8,LeaveDate,"="&amp;($D$3+5*7+1),LeaveType,"AL")&gt;0,"AL",IF(COUNTIFS(LeaveName,'設定'!$B$8,LeaveDate,"="&amp;($D$3+5*7+1),LeaveType,"SL")&gt;0,"SL",IF('設定'!$B$8="","",IF('設定'!$C$8="S","S",IF('設定'!$C$8="R",IF(MOD(INT((($D$3+5*7+1-WEEKDAY($D$3+5*7+1,2)+1)-'設定'!$B$4)/7)+IF('設定'!$D$8="",0,'設定'!$D$8),16)&lt;4,"A",IF(MOD(INT((($D$3+5*7+1-WEEKDAY($D$3+5*7+1,2)+1)-'設定'!$B$4)/7)+IF('設定'!$D$8="",0,'設定'!$D$8),16)&lt;8,"P",IF(MOD(INT((($D$3+5*7+1-WEEKDAY($D$3+5*7+1,2)+1)-'設定'!$B$4)/7)+IF('設定'!$D$8="",0,'設定'!$D$8),16)&lt;12,"N","P"))),""))))))</f>
        <v/>
      </c>
      <c r="C48" s="44">
        <f>IF(OR(C46="",'設定'!$B$8=""),"",IF(COUNTIFS(LeaveName,'設定'!$B$8,LeaveDate,"="&amp;($D$3+5*7+2),LeaveType,"AL")&gt;0,"AL",IF(COUNTIFS(LeaveName,'設定'!$B$8,LeaveDate,"="&amp;($D$3+5*7+2),LeaveType,"SL")&gt;0,"SL",IF('設定'!$B$8="","",IF('設定'!$C$8="S","S",IF('設定'!$C$8="R",IF(MOD(INT((($D$3+5*7+2-WEEKDAY($D$3+5*7+2,2)+1)-'設定'!$B$4)/7)+IF('設定'!$D$8="",0,'設定'!$D$8),16)&lt;4,"A",IF(MOD(INT((($D$3+5*7+2-WEEKDAY($D$3+5*7+2,2)+1)-'設定'!$B$4)/7)+IF('設定'!$D$8="",0,'設定'!$D$8),16)&lt;8,"P",IF(MOD(INT((($D$3+5*7+2-WEEKDAY($D$3+5*7+2,2)+1)-'設定'!$B$4)/7)+IF('設定'!$D$8="",0,'設定'!$D$8),16)&lt;12,"N","P"))),""))))))</f>
        <v/>
      </c>
      <c r="D48" s="44">
        <f>IF(OR(D46="",'設定'!$B$8=""),"",IF(COUNTIFS(LeaveName,'設定'!$B$8,LeaveDate,"="&amp;($D$3+5*7+3),LeaveType,"AL")&gt;0,"AL",IF(COUNTIFS(LeaveName,'設定'!$B$8,LeaveDate,"="&amp;($D$3+5*7+3),LeaveType,"SL")&gt;0,"SL",IF('設定'!$B$8="","",IF('設定'!$C$8="S","S",IF('設定'!$C$8="R",IF(MOD(INT((($D$3+5*7+3-WEEKDAY($D$3+5*7+3,2)+1)-'設定'!$B$4)/7)+IF('設定'!$D$8="",0,'設定'!$D$8),16)&lt;4,"A",IF(MOD(INT((($D$3+5*7+3-WEEKDAY($D$3+5*7+3,2)+1)-'設定'!$B$4)/7)+IF('設定'!$D$8="",0,'設定'!$D$8),16)&lt;8,"P",IF(MOD(INT((($D$3+5*7+3-WEEKDAY($D$3+5*7+3,2)+1)-'設定'!$B$4)/7)+IF('設定'!$D$8="",0,'設定'!$D$8),16)&lt;12,"N","P"))),""))))))</f>
        <v/>
      </c>
      <c r="E48" s="44">
        <f>IF(OR(E46="",'設定'!$B$8=""),"",IF(COUNTIFS(LeaveName,'設定'!$B$8,LeaveDate,"="&amp;($D$3+5*7+4),LeaveType,"AL")&gt;0,"AL",IF(COUNTIFS(LeaveName,'設定'!$B$8,LeaveDate,"="&amp;($D$3+5*7+4),LeaveType,"SL")&gt;0,"SL",IF('設定'!$B$8="","",IF('設定'!$C$8="S","S",IF('設定'!$C$8="R",IF(MOD(INT((($D$3+5*7+4-WEEKDAY($D$3+5*7+4,2)+1)-'設定'!$B$4)/7)+IF('設定'!$D$8="",0,'設定'!$D$8),16)&lt;4,"A",IF(MOD(INT((($D$3+5*7+4-WEEKDAY($D$3+5*7+4,2)+1)-'設定'!$B$4)/7)+IF('設定'!$D$8="",0,'設定'!$D$8),16)&lt;8,"P",IF(MOD(INT((($D$3+5*7+4-WEEKDAY($D$3+5*7+4,2)+1)-'設定'!$B$4)/7)+IF('設定'!$D$8="",0,'設定'!$D$8),16)&lt;12,"N","P"))),""))))))</f>
        <v/>
      </c>
      <c r="F48" s="44">
        <f>IF(OR(F46="",'設定'!$B$8=""),"",IF(COUNTIFS(LeaveName,'設定'!$B$8,LeaveDate,"="&amp;($D$3+5*7+5),LeaveType,"AL")&gt;0,"AL",IF(COUNTIFS(LeaveName,'設定'!$B$8,LeaveDate,"="&amp;($D$3+5*7+5),LeaveType,"SL")&gt;0,"SL",IF('設定'!$B$8="","",IF('設定'!$C$8="S","S",IF('設定'!$C$8="R",IF(MOD(INT((($D$3+5*7+5-WEEKDAY($D$3+5*7+5,2)+1)-'設定'!$B$4)/7)+IF('設定'!$D$8="",0,'設定'!$D$8),16)&lt;4,"A",IF(MOD(INT((($D$3+5*7+5-WEEKDAY($D$3+5*7+5,2)+1)-'設定'!$B$4)/7)+IF('設定'!$D$8="",0,'設定'!$D$8),16)&lt;8,"P",IF(MOD(INT((($D$3+5*7+5-WEEKDAY($D$3+5*7+5,2)+1)-'設定'!$B$4)/7)+IF('設定'!$D$8="",0,'設定'!$D$8),16)&lt;12,"N","P"))),""))))))</f>
        <v/>
      </c>
      <c r="G48" s="44">
        <f>IF(OR(G46="",'設定'!$B$8=""),"",IF(COUNTIFS(LeaveName,'設定'!$B$8,LeaveDate,"="&amp;($D$3+5*7+6),LeaveType,"AL")&gt;0,"AL",IF(COUNTIFS(LeaveName,'設定'!$B$8,LeaveDate,"="&amp;($D$3+5*7+6),LeaveType,"SL")&gt;0,"SL",IF('設定'!$B$8="","",IF('設定'!$C$8="S","S",IF('設定'!$C$8="R",IF(MOD(INT((($D$3+5*7+6-WEEKDAY($D$3+5*7+6,2)+1)-'設定'!$B$4)/7)+IF('設定'!$D$8="",0,'設定'!$D$8),16)&lt;4,"A",IF(MOD(INT((($D$3+5*7+6-WEEKDAY($D$3+5*7+6,2)+1)-'設定'!$B$4)/7)+IF('設定'!$D$8="",0,'設定'!$D$8),16)&lt;8,"P",IF(MOD(INT((($D$3+5*7+6-WEEKDAY($D$3+5*7+6,2)+1)-'設定'!$B$4)/7)+IF('設定'!$D$8="",0,'設定'!$D$8),16)&lt;12,"N","P"))),""))))))</f>
        <v/>
      </c>
      <c r="I48" s="45">
        <f>'設定'!B8</f>
        <v/>
      </c>
    </row>
    <row r="49">
      <c r="A49" s="44">
        <f>IF(OR(A46="",'設定'!$B$9=""),"",IF(COUNTIFS(LeaveName,'設定'!$B$9,LeaveDate,"="&amp;($D$3+5*7+0),LeaveType,"AL")&gt;0,"AL",IF(COUNTIFS(LeaveName,'設定'!$B$9,LeaveDate,"="&amp;($D$3+5*7+0),LeaveType,"SL")&gt;0,"SL",IF('設定'!$B$9="","",IF('設定'!$C$9="S","S",IF('設定'!$C$9="R",IF(MOD(INT((($D$3+5*7+0-WEEKDAY($D$3+5*7+0,2)+1)-'設定'!$B$4)/7)+IF('設定'!$D$9="",0,'設定'!$D$9),16)&lt;4,"A",IF(MOD(INT((($D$3+5*7+0-WEEKDAY($D$3+5*7+0,2)+1)-'設定'!$B$4)/7)+IF('設定'!$D$9="",0,'設定'!$D$9),16)&lt;8,"P",IF(MOD(INT((($D$3+5*7+0-WEEKDAY($D$3+5*7+0,2)+1)-'設定'!$B$4)/7)+IF('設定'!$D$9="",0,'設定'!$D$9),16)&lt;12,"N","P"))),""))))))</f>
        <v/>
      </c>
      <c r="B49" s="44">
        <f>IF(OR(B46="",'設定'!$B$9=""),"",IF(COUNTIFS(LeaveName,'設定'!$B$9,LeaveDate,"="&amp;($D$3+5*7+1),LeaveType,"AL")&gt;0,"AL",IF(COUNTIFS(LeaveName,'設定'!$B$9,LeaveDate,"="&amp;($D$3+5*7+1),LeaveType,"SL")&gt;0,"SL",IF('設定'!$B$9="","",IF('設定'!$C$9="S","S",IF('設定'!$C$9="R",IF(MOD(INT((($D$3+5*7+1-WEEKDAY($D$3+5*7+1,2)+1)-'設定'!$B$4)/7)+IF('設定'!$D$9="",0,'設定'!$D$9),16)&lt;4,"A",IF(MOD(INT((($D$3+5*7+1-WEEKDAY($D$3+5*7+1,2)+1)-'設定'!$B$4)/7)+IF('設定'!$D$9="",0,'設定'!$D$9),16)&lt;8,"P",IF(MOD(INT((($D$3+5*7+1-WEEKDAY($D$3+5*7+1,2)+1)-'設定'!$B$4)/7)+IF('設定'!$D$9="",0,'設定'!$D$9),16)&lt;12,"N","P"))),""))))))</f>
        <v/>
      </c>
      <c r="C49" s="44">
        <f>IF(OR(C46="",'設定'!$B$9=""),"",IF(COUNTIFS(LeaveName,'設定'!$B$9,LeaveDate,"="&amp;($D$3+5*7+2),LeaveType,"AL")&gt;0,"AL",IF(COUNTIFS(LeaveName,'設定'!$B$9,LeaveDate,"="&amp;($D$3+5*7+2),LeaveType,"SL")&gt;0,"SL",IF('設定'!$B$9="","",IF('設定'!$C$9="S","S",IF('設定'!$C$9="R",IF(MOD(INT((($D$3+5*7+2-WEEKDAY($D$3+5*7+2,2)+1)-'設定'!$B$4)/7)+IF('設定'!$D$9="",0,'設定'!$D$9),16)&lt;4,"A",IF(MOD(INT((($D$3+5*7+2-WEEKDAY($D$3+5*7+2,2)+1)-'設定'!$B$4)/7)+IF('設定'!$D$9="",0,'設定'!$D$9),16)&lt;8,"P",IF(MOD(INT((($D$3+5*7+2-WEEKDAY($D$3+5*7+2,2)+1)-'設定'!$B$4)/7)+IF('設定'!$D$9="",0,'設定'!$D$9),16)&lt;12,"N","P"))),""))))))</f>
        <v/>
      </c>
      <c r="D49" s="44">
        <f>IF(OR(D46="",'設定'!$B$9=""),"",IF(COUNTIFS(LeaveName,'設定'!$B$9,LeaveDate,"="&amp;($D$3+5*7+3),LeaveType,"AL")&gt;0,"AL",IF(COUNTIFS(LeaveName,'設定'!$B$9,LeaveDate,"="&amp;($D$3+5*7+3),LeaveType,"SL")&gt;0,"SL",IF('設定'!$B$9="","",IF('設定'!$C$9="S","S",IF('設定'!$C$9="R",IF(MOD(INT((($D$3+5*7+3-WEEKDAY($D$3+5*7+3,2)+1)-'設定'!$B$4)/7)+IF('設定'!$D$9="",0,'設定'!$D$9),16)&lt;4,"A",IF(MOD(INT((($D$3+5*7+3-WEEKDAY($D$3+5*7+3,2)+1)-'設定'!$B$4)/7)+IF('設定'!$D$9="",0,'設定'!$D$9),16)&lt;8,"P",IF(MOD(INT((($D$3+5*7+3-WEEKDAY($D$3+5*7+3,2)+1)-'設定'!$B$4)/7)+IF('設定'!$D$9="",0,'設定'!$D$9),16)&lt;12,"N","P"))),""))))))</f>
        <v/>
      </c>
      <c r="E49" s="44">
        <f>IF(OR(E46="",'設定'!$B$9=""),"",IF(COUNTIFS(LeaveName,'設定'!$B$9,LeaveDate,"="&amp;($D$3+5*7+4),LeaveType,"AL")&gt;0,"AL",IF(COUNTIFS(LeaveName,'設定'!$B$9,LeaveDate,"="&amp;($D$3+5*7+4),LeaveType,"SL")&gt;0,"SL",IF('設定'!$B$9="","",IF('設定'!$C$9="S","S",IF('設定'!$C$9="R",IF(MOD(INT((($D$3+5*7+4-WEEKDAY($D$3+5*7+4,2)+1)-'設定'!$B$4)/7)+IF('設定'!$D$9="",0,'設定'!$D$9),16)&lt;4,"A",IF(MOD(INT((($D$3+5*7+4-WEEKDAY($D$3+5*7+4,2)+1)-'設定'!$B$4)/7)+IF('設定'!$D$9="",0,'設定'!$D$9),16)&lt;8,"P",IF(MOD(INT((($D$3+5*7+4-WEEKDAY($D$3+5*7+4,2)+1)-'設定'!$B$4)/7)+IF('設定'!$D$9="",0,'設定'!$D$9),16)&lt;12,"N","P"))),""))))))</f>
        <v/>
      </c>
      <c r="F49" s="44">
        <f>IF(OR(F46="",'設定'!$B$9=""),"",IF(COUNTIFS(LeaveName,'設定'!$B$9,LeaveDate,"="&amp;($D$3+5*7+5),LeaveType,"AL")&gt;0,"AL",IF(COUNTIFS(LeaveName,'設定'!$B$9,LeaveDate,"="&amp;($D$3+5*7+5),LeaveType,"SL")&gt;0,"SL",IF('設定'!$B$9="","",IF('設定'!$C$9="S","S",IF('設定'!$C$9="R",IF(MOD(INT((($D$3+5*7+5-WEEKDAY($D$3+5*7+5,2)+1)-'設定'!$B$4)/7)+IF('設定'!$D$9="",0,'設定'!$D$9),16)&lt;4,"A",IF(MOD(INT((($D$3+5*7+5-WEEKDAY($D$3+5*7+5,2)+1)-'設定'!$B$4)/7)+IF('設定'!$D$9="",0,'設定'!$D$9),16)&lt;8,"P",IF(MOD(INT((($D$3+5*7+5-WEEKDAY($D$3+5*7+5,2)+1)-'設定'!$B$4)/7)+IF('設定'!$D$9="",0,'設定'!$D$9),16)&lt;12,"N","P"))),""))))))</f>
        <v/>
      </c>
      <c r="G49" s="44">
        <f>IF(OR(G46="",'設定'!$B$9=""),"",IF(COUNTIFS(LeaveName,'設定'!$B$9,LeaveDate,"="&amp;($D$3+5*7+6),LeaveType,"AL")&gt;0,"AL",IF(COUNTIFS(LeaveName,'設定'!$B$9,LeaveDate,"="&amp;($D$3+5*7+6),LeaveType,"SL")&gt;0,"SL",IF('設定'!$B$9="","",IF('設定'!$C$9="S","S",IF('設定'!$C$9="R",IF(MOD(INT((($D$3+5*7+6-WEEKDAY($D$3+5*7+6,2)+1)-'設定'!$B$4)/7)+IF('設定'!$D$9="",0,'設定'!$D$9),16)&lt;4,"A",IF(MOD(INT((($D$3+5*7+6-WEEKDAY($D$3+5*7+6,2)+1)-'設定'!$B$4)/7)+IF('設定'!$D$9="",0,'設定'!$D$9),16)&lt;8,"P",IF(MOD(INT((($D$3+5*7+6-WEEKDAY($D$3+5*7+6,2)+1)-'設定'!$B$4)/7)+IF('設定'!$D$9="",0,'設定'!$D$9),16)&lt;12,"N","P"))),""))))))</f>
        <v/>
      </c>
      <c r="I49" s="45">
        <f>'設定'!B9</f>
        <v/>
      </c>
    </row>
    <row r="50">
      <c r="A50" s="44">
        <f>IF(OR(A46="",'設定'!$B$10=""),"",IF(COUNTIFS(LeaveName,'設定'!$B$10,LeaveDate,"="&amp;($D$3+5*7+0),LeaveType,"AL")&gt;0,"AL",IF(COUNTIFS(LeaveName,'設定'!$B$10,LeaveDate,"="&amp;($D$3+5*7+0),LeaveType,"SL")&gt;0,"SL",IF('設定'!$B$10="","",IF('設定'!$C$10="S","S",IF('設定'!$C$10="R",IF(MOD(INT((($D$3+5*7+0-WEEKDAY($D$3+5*7+0,2)+1)-'設定'!$B$4)/7)+IF('設定'!$D$10="",0,'設定'!$D$10),16)&lt;4,"A",IF(MOD(INT((($D$3+5*7+0-WEEKDAY($D$3+5*7+0,2)+1)-'設定'!$B$4)/7)+IF('設定'!$D$10="",0,'設定'!$D$10),16)&lt;8,"P",IF(MOD(INT((($D$3+5*7+0-WEEKDAY($D$3+5*7+0,2)+1)-'設定'!$B$4)/7)+IF('設定'!$D$10="",0,'設定'!$D$10),16)&lt;12,"N","P"))),""))))))</f>
        <v/>
      </c>
      <c r="B50" s="44">
        <f>IF(OR(B46="",'設定'!$B$10=""),"",IF(COUNTIFS(LeaveName,'設定'!$B$10,LeaveDate,"="&amp;($D$3+5*7+1),LeaveType,"AL")&gt;0,"AL",IF(COUNTIFS(LeaveName,'設定'!$B$10,LeaveDate,"="&amp;($D$3+5*7+1),LeaveType,"SL")&gt;0,"SL",IF('設定'!$B$10="","",IF('設定'!$C$10="S","S",IF('設定'!$C$10="R",IF(MOD(INT((($D$3+5*7+1-WEEKDAY($D$3+5*7+1,2)+1)-'設定'!$B$4)/7)+IF('設定'!$D$10="",0,'設定'!$D$10),16)&lt;4,"A",IF(MOD(INT((($D$3+5*7+1-WEEKDAY($D$3+5*7+1,2)+1)-'設定'!$B$4)/7)+IF('設定'!$D$10="",0,'設定'!$D$10),16)&lt;8,"P",IF(MOD(INT((($D$3+5*7+1-WEEKDAY($D$3+5*7+1,2)+1)-'設定'!$B$4)/7)+IF('設定'!$D$10="",0,'設定'!$D$10),16)&lt;12,"N","P"))),""))))))</f>
        <v/>
      </c>
      <c r="C50" s="44">
        <f>IF(OR(C46="",'設定'!$B$10=""),"",IF(COUNTIFS(LeaveName,'設定'!$B$10,LeaveDate,"="&amp;($D$3+5*7+2),LeaveType,"AL")&gt;0,"AL",IF(COUNTIFS(LeaveName,'設定'!$B$10,LeaveDate,"="&amp;($D$3+5*7+2),LeaveType,"SL")&gt;0,"SL",IF('設定'!$B$10="","",IF('設定'!$C$10="S","S",IF('設定'!$C$10="R",IF(MOD(INT((($D$3+5*7+2-WEEKDAY($D$3+5*7+2,2)+1)-'設定'!$B$4)/7)+IF('設定'!$D$10="",0,'設定'!$D$10),16)&lt;4,"A",IF(MOD(INT((($D$3+5*7+2-WEEKDAY($D$3+5*7+2,2)+1)-'設定'!$B$4)/7)+IF('設定'!$D$10="",0,'設定'!$D$10),16)&lt;8,"P",IF(MOD(INT((($D$3+5*7+2-WEEKDAY($D$3+5*7+2,2)+1)-'設定'!$B$4)/7)+IF('設定'!$D$10="",0,'設定'!$D$10),16)&lt;12,"N","P"))),""))))))</f>
        <v/>
      </c>
      <c r="D50" s="44">
        <f>IF(OR(D46="",'設定'!$B$10=""),"",IF(COUNTIFS(LeaveName,'設定'!$B$10,LeaveDate,"="&amp;($D$3+5*7+3),LeaveType,"AL")&gt;0,"AL",IF(COUNTIFS(LeaveName,'設定'!$B$10,LeaveDate,"="&amp;($D$3+5*7+3),LeaveType,"SL")&gt;0,"SL",IF('設定'!$B$10="","",IF('設定'!$C$10="S","S",IF('設定'!$C$10="R",IF(MOD(INT((($D$3+5*7+3-WEEKDAY($D$3+5*7+3,2)+1)-'設定'!$B$4)/7)+IF('設定'!$D$10="",0,'設定'!$D$10),16)&lt;4,"A",IF(MOD(INT((($D$3+5*7+3-WEEKDAY($D$3+5*7+3,2)+1)-'設定'!$B$4)/7)+IF('設定'!$D$10="",0,'設定'!$D$10),16)&lt;8,"P",IF(MOD(INT((($D$3+5*7+3-WEEKDAY($D$3+5*7+3,2)+1)-'設定'!$B$4)/7)+IF('設定'!$D$10="",0,'設定'!$D$10),16)&lt;12,"N","P"))),""))))))</f>
        <v/>
      </c>
      <c r="E50" s="44">
        <f>IF(OR(E46="",'設定'!$B$10=""),"",IF(COUNTIFS(LeaveName,'設定'!$B$10,LeaveDate,"="&amp;($D$3+5*7+4),LeaveType,"AL")&gt;0,"AL",IF(COUNTIFS(LeaveName,'設定'!$B$10,LeaveDate,"="&amp;($D$3+5*7+4),LeaveType,"SL")&gt;0,"SL",IF('設定'!$B$10="","",IF('設定'!$C$10="S","S",IF('設定'!$C$10="R",IF(MOD(INT((($D$3+5*7+4-WEEKDAY($D$3+5*7+4,2)+1)-'設定'!$B$4)/7)+IF('設定'!$D$10="",0,'設定'!$D$10),16)&lt;4,"A",IF(MOD(INT((($D$3+5*7+4-WEEKDAY($D$3+5*7+4,2)+1)-'設定'!$B$4)/7)+IF('設定'!$D$10="",0,'設定'!$D$10),16)&lt;8,"P",IF(MOD(INT((($D$3+5*7+4-WEEKDAY($D$3+5*7+4,2)+1)-'設定'!$B$4)/7)+IF('設定'!$D$10="",0,'設定'!$D$10),16)&lt;12,"N","P"))),""))))))</f>
        <v/>
      </c>
      <c r="F50" s="44">
        <f>IF(OR(F46="",'設定'!$B$10=""),"",IF(COUNTIFS(LeaveName,'設定'!$B$10,LeaveDate,"="&amp;($D$3+5*7+5),LeaveType,"AL")&gt;0,"AL",IF(COUNTIFS(LeaveName,'設定'!$B$10,LeaveDate,"="&amp;($D$3+5*7+5),LeaveType,"SL")&gt;0,"SL",IF('設定'!$B$10="","",IF('設定'!$C$10="S","S",IF('設定'!$C$10="R",IF(MOD(INT((($D$3+5*7+5-WEEKDAY($D$3+5*7+5,2)+1)-'設定'!$B$4)/7)+IF('設定'!$D$10="",0,'設定'!$D$10),16)&lt;4,"A",IF(MOD(INT((($D$3+5*7+5-WEEKDAY($D$3+5*7+5,2)+1)-'設定'!$B$4)/7)+IF('設定'!$D$10="",0,'設定'!$D$10),16)&lt;8,"P",IF(MOD(INT((($D$3+5*7+5-WEEKDAY($D$3+5*7+5,2)+1)-'設定'!$B$4)/7)+IF('設定'!$D$10="",0,'設定'!$D$10),16)&lt;12,"N","P"))),""))))))</f>
        <v/>
      </c>
      <c r="G50" s="44">
        <f>IF(OR(G46="",'設定'!$B$10=""),"",IF(COUNTIFS(LeaveName,'設定'!$B$10,LeaveDate,"="&amp;($D$3+5*7+6),LeaveType,"AL")&gt;0,"AL",IF(COUNTIFS(LeaveName,'設定'!$B$10,LeaveDate,"="&amp;($D$3+5*7+6),LeaveType,"SL")&gt;0,"SL",IF('設定'!$B$10="","",IF('設定'!$C$10="S","S",IF('設定'!$C$10="R",IF(MOD(INT((($D$3+5*7+6-WEEKDAY($D$3+5*7+6,2)+1)-'設定'!$B$4)/7)+IF('設定'!$D$10="",0,'設定'!$D$10),16)&lt;4,"A",IF(MOD(INT((($D$3+5*7+6-WEEKDAY($D$3+5*7+6,2)+1)-'設定'!$B$4)/7)+IF('設定'!$D$10="",0,'設定'!$D$10),16)&lt;8,"P",IF(MOD(INT((($D$3+5*7+6-WEEKDAY($D$3+5*7+6,2)+1)-'設定'!$B$4)/7)+IF('設定'!$D$10="",0,'設定'!$D$10),16)&lt;12,"N","P"))),""))))))</f>
        <v/>
      </c>
      <c r="I50" s="45">
        <f>'設定'!B10</f>
        <v/>
      </c>
    </row>
    <row r="51">
      <c r="A51" s="44">
        <f>IF(OR(A46="",'設定'!$B$11=""),"",IF(COUNTIFS(LeaveName,'設定'!$B$11,LeaveDate,"="&amp;($D$3+5*7+0),LeaveType,"AL")&gt;0,"AL",IF(COUNTIFS(LeaveName,'設定'!$B$11,LeaveDate,"="&amp;($D$3+5*7+0),LeaveType,"SL")&gt;0,"SL",IF('設定'!$B$11="","",IF('設定'!$C$11="S","S",IF('設定'!$C$11="R",IF(MOD(INT((($D$3+5*7+0-WEEKDAY($D$3+5*7+0,2)+1)-'設定'!$B$4)/7)+IF('設定'!$D$11="",0,'設定'!$D$11),16)&lt;4,"A",IF(MOD(INT((($D$3+5*7+0-WEEKDAY($D$3+5*7+0,2)+1)-'設定'!$B$4)/7)+IF('設定'!$D$11="",0,'設定'!$D$11),16)&lt;8,"P",IF(MOD(INT((($D$3+5*7+0-WEEKDAY($D$3+5*7+0,2)+1)-'設定'!$B$4)/7)+IF('設定'!$D$11="",0,'設定'!$D$11),16)&lt;12,"N","P"))),""))))))</f>
        <v/>
      </c>
      <c r="B51" s="44">
        <f>IF(OR(B46="",'設定'!$B$11=""),"",IF(COUNTIFS(LeaveName,'設定'!$B$11,LeaveDate,"="&amp;($D$3+5*7+1),LeaveType,"AL")&gt;0,"AL",IF(COUNTIFS(LeaveName,'設定'!$B$11,LeaveDate,"="&amp;($D$3+5*7+1),LeaveType,"SL")&gt;0,"SL",IF('設定'!$B$11="","",IF('設定'!$C$11="S","S",IF('設定'!$C$11="R",IF(MOD(INT((($D$3+5*7+1-WEEKDAY($D$3+5*7+1,2)+1)-'設定'!$B$4)/7)+IF('設定'!$D$11="",0,'設定'!$D$11),16)&lt;4,"A",IF(MOD(INT((($D$3+5*7+1-WEEKDAY($D$3+5*7+1,2)+1)-'設定'!$B$4)/7)+IF('設定'!$D$11="",0,'設定'!$D$11),16)&lt;8,"P",IF(MOD(INT((($D$3+5*7+1-WEEKDAY($D$3+5*7+1,2)+1)-'設定'!$B$4)/7)+IF('設定'!$D$11="",0,'設定'!$D$11),16)&lt;12,"N","P"))),""))))))</f>
        <v/>
      </c>
      <c r="C51" s="44">
        <f>IF(OR(C46="",'設定'!$B$11=""),"",IF(COUNTIFS(LeaveName,'設定'!$B$11,LeaveDate,"="&amp;($D$3+5*7+2),LeaveType,"AL")&gt;0,"AL",IF(COUNTIFS(LeaveName,'設定'!$B$11,LeaveDate,"="&amp;($D$3+5*7+2),LeaveType,"SL")&gt;0,"SL",IF('設定'!$B$11="","",IF('設定'!$C$11="S","S",IF('設定'!$C$11="R",IF(MOD(INT((($D$3+5*7+2-WEEKDAY($D$3+5*7+2,2)+1)-'設定'!$B$4)/7)+IF('設定'!$D$11="",0,'設定'!$D$11),16)&lt;4,"A",IF(MOD(INT((($D$3+5*7+2-WEEKDAY($D$3+5*7+2,2)+1)-'設定'!$B$4)/7)+IF('設定'!$D$11="",0,'設定'!$D$11),16)&lt;8,"P",IF(MOD(INT((($D$3+5*7+2-WEEKDAY($D$3+5*7+2,2)+1)-'設定'!$B$4)/7)+IF('設定'!$D$11="",0,'設定'!$D$11),16)&lt;12,"N","P"))),""))))))</f>
        <v/>
      </c>
      <c r="D51" s="44">
        <f>IF(OR(D46="",'設定'!$B$11=""),"",IF(COUNTIFS(LeaveName,'設定'!$B$11,LeaveDate,"="&amp;($D$3+5*7+3),LeaveType,"AL")&gt;0,"AL",IF(COUNTIFS(LeaveName,'設定'!$B$11,LeaveDate,"="&amp;($D$3+5*7+3),LeaveType,"SL")&gt;0,"SL",IF('設定'!$B$11="","",IF('設定'!$C$11="S","S",IF('設定'!$C$11="R",IF(MOD(INT((($D$3+5*7+3-WEEKDAY($D$3+5*7+3,2)+1)-'設定'!$B$4)/7)+IF('設定'!$D$11="",0,'設定'!$D$11),16)&lt;4,"A",IF(MOD(INT((($D$3+5*7+3-WEEKDAY($D$3+5*7+3,2)+1)-'設定'!$B$4)/7)+IF('設定'!$D$11="",0,'設定'!$D$11),16)&lt;8,"P",IF(MOD(INT((($D$3+5*7+3-WEEKDAY($D$3+5*7+3,2)+1)-'設定'!$B$4)/7)+IF('設定'!$D$11="",0,'設定'!$D$11),16)&lt;12,"N","P"))),""))))))</f>
        <v/>
      </c>
      <c r="E51" s="44">
        <f>IF(OR(E46="",'設定'!$B$11=""),"",IF(COUNTIFS(LeaveName,'設定'!$B$11,LeaveDate,"="&amp;($D$3+5*7+4),LeaveType,"AL")&gt;0,"AL",IF(COUNTIFS(LeaveName,'設定'!$B$11,LeaveDate,"="&amp;($D$3+5*7+4),LeaveType,"SL")&gt;0,"SL",IF('設定'!$B$11="","",IF('設定'!$C$11="S","S",IF('設定'!$C$11="R",IF(MOD(INT((($D$3+5*7+4-WEEKDAY($D$3+5*7+4,2)+1)-'設定'!$B$4)/7)+IF('設定'!$D$11="",0,'設定'!$D$11),16)&lt;4,"A",IF(MOD(INT((($D$3+5*7+4-WEEKDAY($D$3+5*7+4,2)+1)-'設定'!$B$4)/7)+IF('設定'!$D$11="",0,'設定'!$D$11),16)&lt;8,"P",IF(MOD(INT((($D$3+5*7+4-WEEKDAY($D$3+5*7+4,2)+1)-'設定'!$B$4)/7)+IF('設定'!$D$11="",0,'設定'!$D$11),16)&lt;12,"N","P"))),""))))))</f>
        <v/>
      </c>
      <c r="F51" s="44">
        <f>IF(OR(F46="",'設定'!$B$11=""),"",IF(COUNTIFS(LeaveName,'設定'!$B$11,LeaveDate,"="&amp;($D$3+5*7+5),LeaveType,"AL")&gt;0,"AL",IF(COUNTIFS(LeaveName,'設定'!$B$11,LeaveDate,"="&amp;($D$3+5*7+5),LeaveType,"SL")&gt;0,"SL",IF('設定'!$B$11="","",IF('設定'!$C$11="S","S",IF('設定'!$C$11="R",IF(MOD(INT((($D$3+5*7+5-WEEKDAY($D$3+5*7+5,2)+1)-'設定'!$B$4)/7)+IF('設定'!$D$11="",0,'設定'!$D$11),16)&lt;4,"A",IF(MOD(INT((($D$3+5*7+5-WEEKDAY($D$3+5*7+5,2)+1)-'設定'!$B$4)/7)+IF('設定'!$D$11="",0,'設定'!$D$11),16)&lt;8,"P",IF(MOD(INT((($D$3+5*7+5-WEEKDAY($D$3+5*7+5,2)+1)-'設定'!$B$4)/7)+IF('設定'!$D$11="",0,'設定'!$D$11),16)&lt;12,"N","P"))),""))))))</f>
        <v/>
      </c>
      <c r="G51" s="44">
        <f>IF(OR(G46="",'設定'!$B$11=""),"",IF(COUNTIFS(LeaveName,'設定'!$B$11,LeaveDate,"="&amp;($D$3+5*7+6),LeaveType,"AL")&gt;0,"AL",IF(COUNTIFS(LeaveName,'設定'!$B$11,LeaveDate,"="&amp;($D$3+5*7+6),LeaveType,"SL")&gt;0,"SL",IF('設定'!$B$11="","",IF('設定'!$C$11="S","S",IF('設定'!$C$11="R",IF(MOD(INT((($D$3+5*7+6-WEEKDAY($D$3+5*7+6,2)+1)-'設定'!$B$4)/7)+IF('設定'!$D$11="",0,'設定'!$D$11),16)&lt;4,"A",IF(MOD(INT((($D$3+5*7+6-WEEKDAY($D$3+5*7+6,2)+1)-'設定'!$B$4)/7)+IF('設定'!$D$11="",0,'設定'!$D$11),16)&lt;8,"P",IF(MOD(INT((($D$3+5*7+6-WEEKDAY($D$3+5*7+6,2)+1)-'設定'!$B$4)/7)+IF('設定'!$D$11="",0,'設定'!$D$11),16)&lt;12,"N","P"))),""))))))</f>
        <v/>
      </c>
      <c r="I51" s="45">
        <f>'設定'!B11</f>
        <v/>
      </c>
    </row>
    <row r="52">
      <c r="A52" s="44">
        <f>IF(OR(A46="",'設定'!$B$12=""),"",IF(COUNTIFS(LeaveName,'設定'!$B$12,LeaveDate,"="&amp;($D$3+5*7+0),LeaveType,"AL")&gt;0,"AL",IF(COUNTIFS(LeaveName,'設定'!$B$12,LeaveDate,"="&amp;($D$3+5*7+0),LeaveType,"SL")&gt;0,"SL",IF('設定'!$B$12="","",IF('設定'!$C$12="S","S",IF('設定'!$C$12="R",IF(MOD(INT((($D$3+5*7+0-WEEKDAY($D$3+5*7+0,2)+1)-'設定'!$B$4)/7)+IF('設定'!$D$12="",0,'設定'!$D$12),16)&lt;4,"A",IF(MOD(INT((($D$3+5*7+0-WEEKDAY($D$3+5*7+0,2)+1)-'設定'!$B$4)/7)+IF('設定'!$D$12="",0,'設定'!$D$12),16)&lt;8,"P",IF(MOD(INT((($D$3+5*7+0-WEEKDAY($D$3+5*7+0,2)+1)-'設定'!$B$4)/7)+IF('設定'!$D$12="",0,'設定'!$D$12),16)&lt;12,"N","P"))),""))))))</f>
        <v/>
      </c>
      <c r="B52" s="44">
        <f>IF(OR(B46="",'設定'!$B$12=""),"",IF(COUNTIFS(LeaveName,'設定'!$B$12,LeaveDate,"="&amp;($D$3+5*7+1),LeaveType,"AL")&gt;0,"AL",IF(COUNTIFS(LeaveName,'設定'!$B$12,LeaveDate,"="&amp;($D$3+5*7+1),LeaveType,"SL")&gt;0,"SL",IF('設定'!$B$12="","",IF('設定'!$C$12="S","S",IF('設定'!$C$12="R",IF(MOD(INT((($D$3+5*7+1-WEEKDAY($D$3+5*7+1,2)+1)-'設定'!$B$4)/7)+IF('設定'!$D$12="",0,'設定'!$D$12),16)&lt;4,"A",IF(MOD(INT((($D$3+5*7+1-WEEKDAY($D$3+5*7+1,2)+1)-'設定'!$B$4)/7)+IF('設定'!$D$12="",0,'設定'!$D$12),16)&lt;8,"P",IF(MOD(INT((($D$3+5*7+1-WEEKDAY($D$3+5*7+1,2)+1)-'設定'!$B$4)/7)+IF('設定'!$D$12="",0,'設定'!$D$12),16)&lt;12,"N","P"))),""))))))</f>
        <v/>
      </c>
      <c r="C52" s="44">
        <f>IF(OR(C46="",'設定'!$B$12=""),"",IF(COUNTIFS(LeaveName,'設定'!$B$12,LeaveDate,"="&amp;($D$3+5*7+2),LeaveType,"AL")&gt;0,"AL",IF(COUNTIFS(LeaveName,'設定'!$B$12,LeaveDate,"="&amp;($D$3+5*7+2),LeaveType,"SL")&gt;0,"SL",IF('設定'!$B$12="","",IF('設定'!$C$12="S","S",IF('設定'!$C$12="R",IF(MOD(INT((($D$3+5*7+2-WEEKDAY($D$3+5*7+2,2)+1)-'設定'!$B$4)/7)+IF('設定'!$D$12="",0,'設定'!$D$12),16)&lt;4,"A",IF(MOD(INT((($D$3+5*7+2-WEEKDAY($D$3+5*7+2,2)+1)-'設定'!$B$4)/7)+IF('設定'!$D$12="",0,'設定'!$D$12),16)&lt;8,"P",IF(MOD(INT((($D$3+5*7+2-WEEKDAY($D$3+5*7+2,2)+1)-'設定'!$B$4)/7)+IF('設定'!$D$12="",0,'設定'!$D$12),16)&lt;12,"N","P"))),""))))))</f>
        <v/>
      </c>
      <c r="D52" s="44">
        <f>IF(OR(D46="",'設定'!$B$12=""),"",IF(COUNTIFS(LeaveName,'設定'!$B$12,LeaveDate,"="&amp;($D$3+5*7+3),LeaveType,"AL")&gt;0,"AL",IF(COUNTIFS(LeaveName,'設定'!$B$12,LeaveDate,"="&amp;($D$3+5*7+3),LeaveType,"SL")&gt;0,"SL",IF('設定'!$B$12="","",IF('設定'!$C$12="S","S",IF('設定'!$C$12="R",IF(MOD(INT((($D$3+5*7+3-WEEKDAY($D$3+5*7+3,2)+1)-'設定'!$B$4)/7)+IF('設定'!$D$12="",0,'設定'!$D$12),16)&lt;4,"A",IF(MOD(INT((($D$3+5*7+3-WEEKDAY($D$3+5*7+3,2)+1)-'設定'!$B$4)/7)+IF('設定'!$D$12="",0,'設定'!$D$12),16)&lt;8,"P",IF(MOD(INT((($D$3+5*7+3-WEEKDAY($D$3+5*7+3,2)+1)-'設定'!$B$4)/7)+IF('設定'!$D$12="",0,'設定'!$D$12),16)&lt;12,"N","P"))),""))))))</f>
        <v/>
      </c>
      <c r="E52" s="44">
        <f>IF(OR(E46="",'設定'!$B$12=""),"",IF(COUNTIFS(LeaveName,'設定'!$B$12,LeaveDate,"="&amp;($D$3+5*7+4),LeaveType,"AL")&gt;0,"AL",IF(COUNTIFS(LeaveName,'設定'!$B$12,LeaveDate,"="&amp;($D$3+5*7+4),LeaveType,"SL")&gt;0,"SL",IF('設定'!$B$12="","",IF('設定'!$C$12="S","S",IF('設定'!$C$12="R",IF(MOD(INT((($D$3+5*7+4-WEEKDAY($D$3+5*7+4,2)+1)-'設定'!$B$4)/7)+IF('設定'!$D$12="",0,'設定'!$D$12),16)&lt;4,"A",IF(MOD(INT((($D$3+5*7+4-WEEKDAY($D$3+5*7+4,2)+1)-'設定'!$B$4)/7)+IF('設定'!$D$12="",0,'設定'!$D$12),16)&lt;8,"P",IF(MOD(INT((($D$3+5*7+4-WEEKDAY($D$3+5*7+4,2)+1)-'設定'!$B$4)/7)+IF('設定'!$D$12="",0,'設定'!$D$12),16)&lt;12,"N","P"))),""))))))</f>
        <v/>
      </c>
      <c r="F52" s="44">
        <f>IF(OR(F46="",'設定'!$B$12=""),"",IF(COUNTIFS(LeaveName,'設定'!$B$12,LeaveDate,"="&amp;($D$3+5*7+5),LeaveType,"AL")&gt;0,"AL",IF(COUNTIFS(LeaveName,'設定'!$B$12,LeaveDate,"="&amp;($D$3+5*7+5),LeaveType,"SL")&gt;0,"SL",IF('設定'!$B$12="","",IF('設定'!$C$12="S","S",IF('設定'!$C$12="R",IF(MOD(INT((($D$3+5*7+5-WEEKDAY($D$3+5*7+5,2)+1)-'設定'!$B$4)/7)+IF('設定'!$D$12="",0,'設定'!$D$12),16)&lt;4,"A",IF(MOD(INT((($D$3+5*7+5-WEEKDAY($D$3+5*7+5,2)+1)-'設定'!$B$4)/7)+IF('設定'!$D$12="",0,'設定'!$D$12),16)&lt;8,"P",IF(MOD(INT((($D$3+5*7+5-WEEKDAY($D$3+5*7+5,2)+1)-'設定'!$B$4)/7)+IF('設定'!$D$12="",0,'設定'!$D$12),16)&lt;12,"N","P"))),""))))))</f>
        <v/>
      </c>
      <c r="G52" s="44">
        <f>IF(OR(G46="",'設定'!$B$12=""),"",IF(COUNTIFS(LeaveName,'設定'!$B$12,LeaveDate,"="&amp;($D$3+5*7+6),LeaveType,"AL")&gt;0,"AL",IF(COUNTIFS(LeaveName,'設定'!$B$12,LeaveDate,"="&amp;($D$3+5*7+6),LeaveType,"SL")&gt;0,"SL",IF('設定'!$B$12="","",IF('設定'!$C$12="S","S",IF('設定'!$C$12="R",IF(MOD(INT((($D$3+5*7+6-WEEKDAY($D$3+5*7+6,2)+1)-'設定'!$B$4)/7)+IF('設定'!$D$12="",0,'設定'!$D$12),16)&lt;4,"A",IF(MOD(INT((($D$3+5*7+6-WEEKDAY($D$3+5*7+6,2)+1)-'設定'!$B$4)/7)+IF('設定'!$D$12="",0,'設定'!$D$12),16)&lt;8,"P",IF(MOD(INT((($D$3+5*7+6-WEEKDAY($D$3+5*7+6,2)+1)-'設定'!$B$4)/7)+IF('設定'!$D$12="",0,'設定'!$D$12),16)&lt;12,"N","P"))),""))))))</f>
        <v/>
      </c>
      <c r="I52" s="45">
        <f>'設定'!B12</f>
        <v/>
      </c>
    </row>
    <row r="53">
      <c r="A53" s="44">
        <f>IF(OR(A46="",'設定'!$B$13=""),"",IF(COUNTIFS(LeaveName,'設定'!$B$13,LeaveDate,"="&amp;($D$3+5*7+0),LeaveType,"AL")&gt;0,"AL",IF(COUNTIFS(LeaveName,'設定'!$B$13,LeaveDate,"="&amp;($D$3+5*7+0),LeaveType,"SL")&gt;0,"SL",IF('設定'!$B$13="","",IF('設定'!$C$13="S","S",IF('設定'!$C$13="R",IF(MOD(INT((($D$3+5*7+0-WEEKDAY($D$3+5*7+0,2)+1)-'設定'!$B$4)/7)+IF('設定'!$D$13="",0,'設定'!$D$13),16)&lt;4,"A",IF(MOD(INT((($D$3+5*7+0-WEEKDAY($D$3+5*7+0,2)+1)-'設定'!$B$4)/7)+IF('設定'!$D$13="",0,'設定'!$D$13),16)&lt;8,"P",IF(MOD(INT((($D$3+5*7+0-WEEKDAY($D$3+5*7+0,2)+1)-'設定'!$B$4)/7)+IF('設定'!$D$13="",0,'設定'!$D$13),16)&lt;12,"N","P"))),""))))))</f>
        <v/>
      </c>
      <c r="B53" s="44">
        <f>IF(OR(B46="",'設定'!$B$13=""),"",IF(COUNTIFS(LeaveName,'設定'!$B$13,LeaveDate,"="&amp;($D$3+5*7+1),LeaveType,"AL")&gt;0,"AL",IF(COUNTIFS(LeaveName,'設定'!$B$13,LeaveDate,"="&amp;($D$3+5*7+1),LeaveType,"SL")&gt;0,"SL",IF('設定'!$B$13="","",IF('設定'!$C$13="S","S",IF('設定'!$C$13="R",IF(MOD(INT((($D$3+5*7+1-WEEKDAY($D$3+5*7+1,2)+1)-'設定'!$B$4)/7)+IF('設定'!$D$13="",0,'設定'!$D$13),16)&lt;4,"A",IF(MOD(INT((($D$3+5*7+1-WEEKDAY($D$3+5*7+1,2)+1)-'設定'!$B$4)/7)+IF('設定'!$D$13="",0,'設定'!$D$13),16)&lt;8,"P",IF(MOD(INT((($D$3+5*7+1-WEEKDAY($D$3+5*7+1,2)+1)-'設定'!$B$4)/7)+IF('設定'!$D$13="",0,'設定'!$D$13),16)&lt;12,"N","P"))),""))))))</f>
        <v/>
      </c>
      <c r="C53" s="44">
        <f>IF(OR(C46="",'設定'!$B$13=""),"",IF(COUNTIFS(LeaveName,'設定'!$B$13,LeaveDate,"="&amp;($D$3+5*7+2),LeaveType,"AL")&gt;0,"AL",IF(COUNTIFS(LeaveName,'設定'!$B$13,LeaveDate,"="&amp;($D$3+5*7+2),LeaveType,"SL")&gt;0,"SL",IF('設定'!$B$13="","",IF('設定'!$C$13="S","S",IF('設定'!$C$13="R",IF(MOD(INT((($D$3+5*7+2-WEEKDAY($D$3+5*7+2,2)+1)-'設定'!$B$4)/7)+IF('設定'!$D$13="",0,'設定'!$D$13),16)&lt;4,"A",IF(MOD(INT((($D$3+5*7+2-WEEKDAY($D$3+5*7+2,2)+1)-'設定'!$B$4)/7)+IF('設定'!$D$13="",0,'設定'!$D$13),16)&lt;8,"P",IF(MOD(INT((($D$3+5*7+2-WEEKDAY($D$3+5*7+2,2)+1)-'設定'!$B$4)/7)+IF('設定'!$D$13="",0,'設定'!$D$13),16)&lt;12,"N","P"))),""))))))</f>
        <v/>
      </c>
      <c r="D53" s="44">
        <f>IF(OR(D46="",'設定'!$B$13=""),"",IF(COUNTIFS(LeaveName,'設定'!$B$13,LeaveDate,"="&amp;($D$3+5*7+3),LeaveType,"AL")&gt;0,"AL",IF(COUNTIFS(LeaveName,'設定'!$B$13,LeaveDate,"="&amp;($D$3+5*7+3),LeaveType,"SL")&gt;0,"SL",IF('設定'!$B$13="","",IF('設定'!$C$13="S","S",IF('設定'!$C$13="R",IF(MOD(INT((($D$3+5*7+3-WEEKDAY($D$3+5*7+3,2)+1)-'設定'!$B$4)/7)+IF('設定'!$D$13="",0,'設定'!$D$13),16)&lt;4,"A",IF(MOD(INT((($D$3+5*7+3-WEEKDAY($D$3+5*7+3,2)+1)-'設定'!$B$4)/7)+IF('設定'!$D$13="",0,'設定'!$D$13),16)&lt;8,"P",IF(MOD(INT((($D$3+5*7+3-WEEKDAY($D$3+5*7+3,2)+1)-'設定'!$B$4)/7)+IF('設定'!$D$13="",0,'設定'!$D$13),16)&lt;12,"N","P"))),""))))))</f>
        <v/>
      </c>
      <c r="E53" s="44">
        <f>IF(OR(E46="",'設定'!$B$13=""),"",IF(COUNTIFS(LeaveName,'設定'!$B$13,LeaveDate,"="&amp;($D$3+5*7+4),LeaveType,"AL")&gt;0,"AL",IF(COUNTIFS(LeaveName,'設定'!$B$13,LeaveDate,"="&amp;($D$3+5*7+4),LeaveType,"SL")&gt;0,"SL",IF('設定'!$B$13="","",IF('設定'!$C$13="S","S",IF('設定'!$C$13="R",IF(MOD(INT((($D$3+5*7+4-WEEKDAY($D$3+5*7+4,2)+1)-'設定'!$B$4)/7)+IF('設定'!$D$13="",0,'設定'!$D$13),16)&lt;4,"A",IF(MOD(INT((($D$3+5*7+4-WEEKDAY($D$3+5*7+4,2)+1)-'設定'!$B$4)/7)+IF('設定'!$D$13="",0,'設定'!$D$13),16)&lt;8,"P",IF(MOD(INT((($D$3+5*7+4-WEEKDAY($D$3+5*7+4,2)+1)-'設定'!$B$4)/7)+IF('設定'!$D$13="",0,'設定'!$D$13),16)&lt;12,"N","P"))),""))))))</f>
        <v/>
      </c>
      <c r="F53" s="44">
        <f>IF(OR(F46="",'設定'!$B$13=""),"",IF(COUNTIFS(LeaveName,'設定'!$B$13,LeaveDate,"="&amp;($D$3+5*7+5),LeaveType,"AL")&gt;0,"AL",IF(COUNTIFS(LeaveName,'設定'!$B$13,LeaveDate,"="&amp;($D$3+5*7+5),LeaveType,"SL")&gt;0,"SL",IF('設定'!$B$13="","",IF('設定'!$C$13="S","S",IF('設定'!$C$13="R",IF(MOD(INT((($D$3+5*7+5-WEEKDAY($D$3+5*7+5,2)+1)-'設定'!$B$4)/7)+IF('設定'!$D$13="",0,'設定'!$D$13),16)&lt;4,"A",IF(MOD(INT((($D$3+5*7+5-WEEKDAY($D$3+5*7+5,2)+1)-'設定'!$B$4)/7)+IF('設定'!$D$13="",0,'設定'!$D$13),16)&lt;8,"P",IF(MOD(INT((($D$3+5*7+5-WEEKDAY($D$3+5*7+5,2)+1)-'設定'!$B$4)/7)+IF('設定'!$D$13="",0,'設定'!$D$13),16)&lt;12,"N","P"))),""))))))</f>
        <v/>
      </c>
      <c r="G53" s="44">
        <f>IF(OR(G46="",'設定'!$B$13=""),"",IF(COUNTIFS(LeaveName,'設定'!$B$13,LeaveDate,"="&amp;($D$3+5*7+6),LeaveType,"AL")&gt;0,"AL",IF(COUNTIFS(LeaveName,'設定'!$B$13,LeaveDate,"="&amp;($D$3+5*7+6),LeaveType,"SL")&gt;0,"SL",IF('設定'!$B$13="","",IF('設定'!$C$13="S","S",IF('設定'!$C$13="R",IF(MOD(INT((($D$3+5*7+6-WEEKDAY($D$3+5*7+6,2)+1)-'設定'!$B$4)/7)+IF('設定'!$D$13="",0,'設定'!$D$13),16)&lt;4,"A",IF(MOD(INT((($D$3+5*7+6-WEEKDAY($D$3+5*7+6,2)+1)-'設定'!$B$4)/7)+IF('設定'!$D$13="",0,'設定'!$D$13),16)&lt;8,"P",IF(MOD(INT((($D$3+5*7+6-WEEKDAY($D$3+5*7+6,2)+1)-'設定'!$B$4)/7)+IF('設定'!$D$13="",0,'設定'!$D$13),16)&lt;12,"N","P"))),""))))))</f>
        <v/>
      </c>
      <c r="I53" s="45">
        <f>'設定'!B13</f>
        <v/>
      </c>
    </row>
    <row r="55">
      <c r="A55" s="2" t="inlineStr">
        <is>
          <t>圖例（與排班表一致）</t>
        </is>
      </c>
    </row>
    <row r="56">
      <c r="A56" s="9" t="inlineStr">
        <is>
          <t>S</t>
        </is>
      </c>
      <c r="B56" s="10" t="inlineStr">
        <is>
          <t>A</t>
        </is>
      </c>
      <c r="C56" s="11" t="inlineStr">
        <is>
          <t>P</t>
        </is>
      </c>
      <c r="D56" s="12" t="inlineStr">
        <is>
          <t>N</t>
        </is>
      </c>
      <c r="E56" s="13" t="inlineStr">
        <is>
          <t>AL</t>
        </is>
      </c>
      <c r="F56" s="8" t="inlineStr">
        <is>
          <t>SL</t>
        </is>
      </c>
    </row>
    <row r="58">
      <c r="A58" s="30" t="inlineStr">
        <is>
          <t>注意：此表全部為公式自動生成，請勿直接輸入。請假請到「請假登記」。</t>
        </is>
      </c>
    </row>
  </sheetData>
  <mergeCells count="2">
    <mergeCell ref="A58:G58"/>
    <mergeCell ref="A1:G1"/>
  </mergeCells>
  <conditionalFormatting sqref="A6:A13">
    <cfRule type="expression" priority="1" dxfId="6">
      <formula>AND(A$6&lt;&gt;"",A$7&lt;&gt;"")</formula>
    </cfRule>
  </conditionalFormatting>
  <conditionalFormatting sqref="A8:A13">
    <cfRule type="cellIs" priority="2" operator="equal" dxfId="0">
      <formula>"S"</formula>
    </cfRule>
    <cfRule type="cellIs" priority="3" operator="equal" dxfId="1">
      <formula>"A"</formula>
    </cfRule>
    <cfRule type="cellIs" priority="4" operator="equal" dxfId="2">
      <formula>"P"</formula>
    </cfRule>
    <cfRule type="cellIs" priority="5" operator="equal" dxfId="3">
      <formula>"N"</formula>
    </cfRule>
    <cfRule type="cellIs" priority="6" operator="equal" dxfId="4">
      <formula>"AL"</formula>
    </cfRule>
    <cfRule type="cellIs" priority="7" operator="equal" dxfId="5">
      <formula>"SL"</formula>
    </cfRule>
  </conditionalFormatting>
  <conditionalFormatting sqref="B6:B13">
    <cfRule type="expression" priority="8" dxfId="6">
      <formula>AND(B$6&lt;&gt;"",B$7&lt;&gt;"")</formula>
    </cfRule>
  </conditionalFormatting>
  <conditionalFormatting sqref="B8:B1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"P"</formula>
    </cfRule>
    <cfRule type="cellIs" priority="12" operator="equal" dxfId="3">
      <formula>"N"</formula>
    </cfRule>
    <cfRule type="cellIs" priority="13" operator="equal" dxfId="4">
      <formula>"AL"</formula>
    </cfRule>
    <cfRule type="cellIs" priority="14" operator="equal" dxfId="5">
      <formula>"SL"</formula>
    </cfRule>
  </conditionalFormatting>
  <conditionalFormatting sqref="C6:C13">
    <cfRule type="expression" priority="15" dxfId="6">
      <formula>AND(C$6&lt;&gt;"",C$7&lt;&gt;"")</formula>
    </cfRule>
  </conditionalFormatting>
  <conditionalFormatting sqref="C8:C13">
    <cfRule type="cellIs" priority="16" operator="equal" dxfId="0">
      <formula>"S"</formula>
    </cfRule>
    <cfRule type="cellIs" priority="17" operator="equal" dxfId="1">
      <formula>"A"</formula>
    </cfRule>
    <cfRule type="cellIs" priority="18" operator="equal" dxfId="2">
      <formula>"P"</formula>
    </cfRule>
    <cfRule type="cellIs" priority="19" operator="equal" dxfId="3">
      <formula>"N"</formula>
    </cfRule>
    <cfRule type="cellIs" priority="20" operator="equal" dxfId="4">
      <formula>"AL"</formula>
    </cfRule>
    <cfRule type="cellIs" priority="21" operator="equal" dxfId="5">
      <formula>"SL"</formula>
    </cfRule>
  </conditionalFormatting>
  <conditionalFormatting sqref="D6:D13">
    <cfRule type="expression" priority="22" dxfId="6">
      <formula>AND(D$6&lt;&gt;"",D$7&lt;&gt;"")</formula>
    </cfRule>
  </conditionalFormatting>
  <conditionalFormatting sqref="D8:D13">
    <cfRule type="cellIs" priority="23" operator="equal" dxfId="0">
      <formula>"S"</formula>
    </cfRule>
    <cfRule type="cellIs" priority="24" operator="equal" dxfId="1">
      <formula>"A"</formula>
    </cfRule>
    <cfRule type="cellIs" priority="25" operator="equal" dxfId="2">
      <formula>"P"</formula>
    </cfRule>
    <cfRule type="cellIs" priority="26" operator="equal" dxfId="3">
      <formula>"N"</formula>
    </cfRule>
    <cfRule type="cellIs" priority="27" operator="equal" dxfId="4">
      <formula>"AL"</formula>
    </cfRule>
    <cfRule type="cellIs" priority="28" operator="equal" dxfId="5">
      <formula>"SL"</formula>
    </cfRule>
  </conditionalFormatting>
  <conditionalFormatting sqref="E6:E13">
    <cfRule type="expression" priority="29" dxfId="6">
      <formula>AND(E$6&lt;&gt;"",E$7&lt;&gt;"")</formula>
    </cfRule>
  </conditionalFormatting>
  <conditionalFormatting sqref="E8:E13">
    <cfRule type="cellIs" priority="30" operator="equal" dxfId="0">
      <formula>"S"</formula>
    </cfRule>
    <cfRule type="cellIs" priority="31" operator="equal" dxfId="1">
      <formula>"A"</formula>
    </cfRule>
    <cfRule type="cellIs" priority="32" operator="equal" dxfId="2">
      <formula>"P"</formula>
    </cfRule>
    <cfRule type="cellIs" priority="33" operator="equal" dxfId="3">
      <formula>"N"</formula>
    </cfRule>
    <cfRule type="cellIs" priority="34" operator="equal" dxfId="4">
      <formula>"AL"</formula>
    </cfRule>
    <cfRule type="cellIs" priority="35" operator="equal" dxfId="5">
      <formula>"SL"</formula>
    </cfRule>
  </conditionalFormatting>
  <conditionalFormatting sqref="F6:F13">
    <cfRule type="expression" priority="36" dxfId="6">
      <formula>AND(F$6&lt;&gt;"",F$7&lt;&gt;"")</formula>
    </cfRule>
  </conditionalFormatting>
  <conditionalFormatting sqref="F8:F13">
    <cfRule type="cellIs" priority="37" operator="equal" dxfId="0">
      <formula>"S"</formula>
    </cfRule>
    <cfRule type="cellIs" priority="38" operator="equal" dxfId="1">
      <formula>"A"</formula>
    </cfRule>
    <cfRule type="cellIs" priority="39" operator="equal" dxfId="2">
      <formula>"P"</formula>
    </cfRule>
    <cfRule type="cellIs" priority="40" operator="equal" dxfId="3">
      <formula>"N"</formula>
    </cfRule>
    <cfRule type="cellIs" priority="41" operator="equal" dxfId="4">
      <formula>"AL"</formula>
    </cfRule>
    <cfRule type="cellIs" priority="42" operator="equal" dxfId="5">
      <formula>"SL"</formula>
    </cfRule>
  </conditionalFormatting>
  <conditionalFormatting sqref="G6:G13">
    <cfRule type="expression" priority="43" dxfId="6">
      <formula>AND(G$6&lt;&gt;"",G$7&lt;&gt;"")</formula>
    </cfRule>
  </conditionalFormatting>
  <conditionalFormatting sqref="G8:G13">
    <cfRule type="cellIs" priority="44" operator="equal" dxfId="0">
      <formula>"S"</formula>
    </cfRule>
    <cfRule type="cellIs" priority="45" operator="equal" dxfId="1">
      <formula>"A"</formula>
    </cfRule>
    <cfRule type="cellIs" priority="46" operator="equal" dxfId="2">
      <formula>"P"</formula>
    </cfRule>
    <cfRule type="cellIs" priority="47" operator="equal" dxfId="3">
      <formula>"N"</formula>
    </cfRule>
    <cfRule type="cellIs" priority="48" operator="equal" dxfId="4">
      <formula>"AL"</formula>
    </cfRule>
    <cfRule type="cellIs" priority="49" operator="equal" dxfId="5">
      <formula>"SL"</formula>
    </cfRule>
  </conditionalFormatting>
  <conditionalFormatting sqref="A14:A21">
    <cfRule type="expression" priority="50" dxfId="6">
      <formula>AND(A$14&lt;&gt;"",A$15&lt;&gt;"")</formula>
    </cfRule>
  </conditionalFormatting>
  <conditionalFormatting sqref="A16:A21">
    <cfRule type="cellIs" priority="51" operator="equal" dxfId="0">
      <formula>"S"</formula>
    </cfRule>
    <cfRule type="cellIs" priority="52" operator="equal" dxfId="1">
      <formula>"A"</formula>
    </cfRule>
    <cfRule type="cellIs" priority="53" operator="equal" dxfId="2">
      <formula>"P"</formula>
    </cfRule>
    <cfRule type="cellIs" priority="54" operator="equal" dxfId="3">
      <formula>"N"</formula>
    </cfRule>
    <cfRule type="cellIs" priority="55" operator="equal" dxfId="4">
      <formula>"AL"</formula>
    </cfRule>
    <cfRule type="cellIs" priority="56" operator="equal" dxfId="5">
      <formula>"SL"</formula>
    </cfRule>
  </conditionalFormatting>
  <conditionalFormatting sqref="B14:B21">
    <cfRule type="expression" priority="57" dxfId="6">
      <formula>AND(B$14&lt;&gt;"",B$15&lt;&gt;"")</formula>
    </cfRule>
  </conditionalFormatting>
  <conditionalFormatting sqref="B16:B21">
    <cfRule type="cellIs" priority="58" operator="equal" dxfId="0">
      <formula>"S"</formula>
    </cfRule>
    <cfRule type="cellIs" priority="59" operator="equal" dxfId="1">
      <formula>"A"</formula>
    </cfRule>
    <cfRule type="cellIs" priority="60" operator="equal" dxfId="2">
      <formula>"P"</formula>
    </cfRule>
    <cfRule type="cellIs" priority="61" operator="equal" dxfId="3">
      <formula>"N"</formula>
    </cfRule>
    <cfRule type="cellIs" priority="62" operator="equal" dxfId="4">
      <formula>"AL"</formula>
    </cfRule>
    <cfRule type="cellIs" priority="63" operator="equal" dxfId="5">
      <formula>"SL"</formula>
    </cfRule>
  </conditionalFormatting>
  <conditionalFormatting sqref="C14:C21">
    <cfRule type="expression" priority="64" dxfId="6">
      <formula>AND(C$14&lt;&gt;"",C$15&lt;&gt;"")</formula>
    </cfRule>
  </conditionalFormatting>
  <conditionalFormatting sqref="C16:C21">
    <cfRule type="cellIs" priority="65" operator="equal" dxfId="0">
      <formula>"S"</formula>
    </cfRule>
    <cfRule type="cellIs" priority="66" operator="equal" dxfId="1">
      <formula>"A"</formula>
    </cfRule>
    <cfRule type="cellIs" priority="67" operator="equal" dxfId="2">
      <formula>"P"</formula>
    </cfRule>
    <cfRule type="cellIs" priority="68" operator="equal" dxfId="3">
      <formula>"N"</formula>
    </cfRule>
    <cfRule type="cellIs" priority="69" operator="equal" dxfId="4">
      <formula>"AL"</formula>
    </cfRule>
    <cfRule type="cellIs" priority="70" operator="equal" dxfId="5">
      <formula>"SL"</formula>
    </cfRule>
  </conditionalFormatting>
  <conditionalFormatting sqref="D14:D21">
    <cfRule type="expression" priority="71" dxfId="6">
      <formula>AND(D$14&lt;&gt;"",D$15&lt;&gt;"")</formula>
    </cfRule>
  </conditionalFormatting>
  <conditionalFormatting sqref="D16:D21">
    <cfRule type="cellIs" priority="72" operator="equal" dxfId="0">
      <formula>"S"</formula>
    </cfRule>
    <cfRule type="cellIs" priority="73" operator="equal" dxfId="1">
      <formula>"A"</formula>
    </cfRule>
    <cfRule type="cellIs" priority="74" operator="equal" dxfId="2">
      <formula>"P"</formula>
    </cfRule>
    <cfRule type="cellIs" priority="75" operator="equal" dxfId="3">
      <formula>"N"</formula>
    </cfRule>
    <cfRule type="cellIs" priority="76" operator="equal" dxfId="4">
      <formula>"AL"</formula>
    </cfRule>
    <cfRule type="cellIs" priority="77" operator="equal" dxfId="5">
      <formula>"SL"</formula>
    </cfRule>
  </conditionalFormatting>
  <conditionalFormatting sqref="E14:E21">
    <cfRule type="expression" priority="78" dxfId="6">
      <formula>AND(E$14&lt;&gt;"",E$15&lt;&gt;"")</formula>
    </cfRule>
  </conditionalFormatting>
  <conditionalFormatting sqref="E16:E21">
    <cfRule type="cellIs" priority="79" operator="equal" dxfId="0">
      <formula>"S"</formula>
    </cfRule>
    <cfRule type="cellIs" priority="80" operator="equal" dxfId="1">
      <formula>"A"</formula>
    </cfRule>
    <cfRule type="cellIs" priority="81" operator="equal" dxfId="2">
      <formula>"P"</formula>
    </cfRule>
    <cfRule type="cellIs" priority="82" operator="equal" dxfId="3">
      <formula>"N"</formula>
    </cfRule>
    <cfRule type="cellIs" priority="83" operator="equal" dxfId="4">
      <formula>"AL"</formula>
    </cfRule>
    <cfRule type="cellIs" priority="84" operator="equal" dxfId="5">
      <formula>"SL"</formula>
    </cfRule>
  </conditionalFormatting>
  <conditionalFormatting sqref="F14:F21">
    <cfRule type="expression" priority="85" dxfId="6">
      <formula>AND(F$14&lt;&gt;"",F$15&lt;&gt;"")</formula>
    </cfRule>
  </conditionalFormatting>
  <conditionalFormatting sqref="F16:F21">
    <cfRule type="cellIs" priority="86" operator="equal" dxfId="0">
      <formula>"S"</formula>
    </cfRule>
    <cfRule type="cellIs" priority="87" operator="equal" dxfId="1">
      <formula>"A"</formula>
    </cfRule>
    <cfRule type="cellIs" priority="88" operator="equal" dxfId="2">
      <formula>"P"</formula>
    </cfRule>
    <cfRule type="cellIs" priority="89" operator="equal" dxfId="3">
      <formula>"N"</formula>
    </cfRule>
    <cfRule type="cellIs" priority="90" operator="equal" dxfId="4">
      <formula>"AL"</formula>
    </cfRule>
    <cfRule type="cellIs" priority="91" operator="equal" dxfId="5">
      <formula>"SL"</formula>
    </cfRule>
  </conditionalFormatting>
  <conditionalFormatting sqref="G14:G21">
    <cfRule type="expression" priority="92" dxfId="6">
      <formula>AND(G$14&lt;&gt;"",G$15&lt;&gt;"")</formula>
    </cfRule>
  </conditionalFormatting>
  <conditionalFormatting sqref="G16:G21">
    <cfRule type="cellIs" priority="93" operator="equal" dxfId="0">
      <formula>"S"</formula>
    </cfRule>
    <cfRule type="cellIs" priority="94" operator="equal" dxfId="1">
      <formula>"A"</formula>
    </cfRule>
    <cfRule type="cellIs" priority="95" operator="equal" dxfId="2">
      <formula>"P"</formula>
    </cfRule>
    <cfRule type="cellIs" priority="96" operator="equal" dxfId="3">
      <formula>"N"</formula>
    </cfRule>
    <cfRule type="cellIs" priority="97" operator="equal" dxfId="4">
      <formula>"AL"</formula>
    </cfRule>
    <cfRule type="cellIs" priority="98" operator="equal" dxfId="5">
      <formula>"SL"</formula>
    </cfRule>
  </conditionalFormatting>
  <conditionalFormatting sqref="A22:A29">
    <cfRule type="expression" priority="99" dxfId="6">
      <formula>AND(A$22&lt;&gt;"",A$23&lt;&gt;"")</formula>
    </cfRule>
  </conditionalFormatting>
  <conditionalFormatting sqref="A24:A29">
    <cfRule type="cellIs" priority="100" operator="equal" dxfId="0">
      <formula>"S"</formula>
    </cfRule>
    <cfRule type="cellIs" priority="101" operator="equal" dxfId="1">
      <formula>"A"</formula>
    </cfRule>
    <cfRule type="cellIs" priority="102" operator="equal" dxfId="2">
      <formula>"P"</formula>
    </cfRule>
    <cfRule type="cellIs" priority="103" operator="equal" dxfId="3">
      <formula>"N"</formula>
    </cfRule>
    <cfRule type="cellIs" priority="104" operator="equal" dxfId="4">
      <formula>"AL"</formula>
    </cfRule>
    <cfRule type="cellIs" priority="105" operator="equal" dxfId="5">
      <formula>"SL"</formula>
    </cfRule>
  </conditionalFormatting>
  <conditionalFormatting sqref="B22:B29">
    <cfRule type="expression" priority="106" dxfId="6">
      <formula>AND(B$22&lt;&gt;"",B$23&lt;&gt;"")</formula>
    </cfRule>
  </conditionalFormatting>
  <conditionalFormatting sqref="B24:B29">
    <cfRule type="cellIs" priority="107" operator="equal" dxfId="0">
      <formula>"S"</formula>
    </cfRule>
    <cfRule type="cellIs" priority="108" operator="equal" dxfId="1">
      <formula>"A"</formula>
    </cfRule>
    <cfRule type="cellIs" priority="109" operator="equal" dxfId="2">
      <formula>"P"</formula>
    </cfRule>
    <cfRule type="cellIs" priority="110" operator="equal" dxfId="3">
      <formula>"N"</formula>
    </cfRule>
    <cfRule type="cellIs" priority="111" operator="equal" dxfId="4">
      <formula>"AL"</formula>
    </cfRule>
    <cfRule type="cellIs" priority="112" operator="equal" dxfId="5">
      <formula>"SL"</formula>
    </cfRule>
  </conditionalFormatting>
  <conditionalFormatting sqref="C22:C29">
    <cfRule type="expression" priority="113" dxfId="6">
      <formula>AND(C$22&lt;&gt;"",C$23&lt;&gt;"")</formula>
    </cfRule>
  </conditionalFormatting>
  <conditionalFormatting sqref="C24:C29">
    <cfRule type="cellIs" priority="114" operator="equal" dxfId="0">
      <formula>"S"</formula>
    </cfRule>
    <cfRule type="cellIs" priority="115" operator="equal" dxfId="1">
      <formula>"A"</formula>
    </cfRule>
    <cfRule type="cellIs" priority="116" operator="equal" dxfId="2">
      <formula>"P"</formula>
    </cfRule>
    <cfRule type="cellIs" priority="117" operator="equal" dxfId="3">
      <formula>"N"</formula>
    </cfRule>
    <cfRule type="cellIs" priority="118" operator="equal" dxfId="4">
      <formula>"AL"</formula>
    </cfRule>
    <cfRule type="cellIs" priority="119" operator="equal" dxfId="5">
      <formula>"SL"</formula>
    </cfRule>
  </conditionalFormatting>
  <conditionalFormatting sqref="D22:D29">
    <cfRule type="expression" priority="120" dxfId="6">
      <formula>AND(D$22&lt;&gt;"",D$23&lt;&gt;"")</formula>
    </cfRule>
  </conditionalFormatting>
  <conditionalFormatting sqref="D24:D29">
    <cfRule type="cellIs" priority="121" operator="equal" dxfId="0">
      <formula>"S"</formula>
    </cfRule>
    <cfRule type="cellIs" priority="122" operator="equal" dxfId="1">
      <formula>"A"</formula>
    </cfRule>
    <cfRule type="cellIs" priority="123" operator="equal" dxfId="2">
      <formula>"P"</formula>
    </cfRule>
    <cfRule type="cellIs" priority="124" operator="equal" dxfId="3">
      <formula>"N"</formula>
    </cfRule>
    <cfRule type="cellIs" priority="125" operator="equal" dxfId="4">
      <formula>"AL"</formula>
    </cfRule>
    <cfRule type="cellIs" priority="126" operator="equal" dxfId="5">
      <formula>"SL"</formula>
    </cfRule>
  </conditionalFormatting>
  <conditionalFormatting sqref="E22:E29">
    <cfRule type="expression" priority="127" dxfId="6">
      <formula>AND(E$22&lt;&gt;"",E$23&lt;&gt;"")</formula>
    </cfRule>
  </conditionalFormatting>
  <conditionalFormatting sqref="E24:E29">
    <cfRule type="cellIs" priority="128" operator="equal" dxfId="0">
      <formula>"S"</formula>
    </cfRule>
    <cfRule type="cellIs" priority="129" operator="equal" dxfId="1">
      <formula>"A"</formula>
    </cfRule>
    <cfRule type="cellIs" priority="130" operator="equal" dxfId="2">
      <formula>"P"</formula>
    </cfRule>
    <cfRule type="cellIs" priority="131" operator="equal" dxfId="3">
      <formula>"N"</formula>
    </cfRule>
    <cfRule type="cellIs" priority="132" operator="equal" dxfId="4">
      <formula>"AL"</formula>
    </cfRule>
    <cfRule type="cellIs" priority="133" operator="equal" dxfId="5">
      <formula>"SL"</formula>
    </cfRule>
  </conditionalFormatting>
  <conditionalFormatting sqref="F22:F29">
    <cfRule type="expression" priority="134" dxfId="6">
      <formula>AND(F$22&lt;&gt;"",F$23&lt;&gt;"")</formula>
    </cfRule>
  </conditionalFormatting>
  <conditionalFormatting sqref="F24:F29">
    <cfRule type="cellIs" priority="135" operator="equal" dxfId="0">
      <formula>"S"</formula>
    </cfRule>
    <cfRule type="cellIs" priority="136" operator="equal" dxfId="1">
      <formula>"A"</formula>
    </cfRule>
    <cfRule type="cellIs" priority="137" operator="equal" dxfId="2">
      <formula>"P"</formula>
    </cfRule>
    <cfRule type="cellIs" priority="138" operator="equal" dxfId="3">
      <formula>"N"</formula>
    </cfRule>
    <cfRule type="cellIs" priority="139" operator="equal" dxfId="4">
      <formula>"AL"</formula>
    </cfRule>
    <cfRule type="cellIs" priority="140" operator="equal" dxfId="5">
      <formula>"SL"</formula>
    </cfRule>
  </conditionalFormatting>
  <conditionalFormatting sqref="G22:G29">
    <cfRule type="expression" priority="141" dxfId="6">
      <formula>AND(G$22&lt;&gt;"",G$23&lt;&gt;"")</formula>
    </cfRule>
  </conditionalFormatting>
  <conditionalFormatting sqref="G24:G29">
    <cfRule type="cellIs" priority="142" operator="equal" dxfId="0">
      <formula>"S"</formula>
    </cfRule>
    <cfRule type="cellIs" priority="143" operator="equal" dxfId="1">
      <formula>"A"</formula>
    </cfRule>
    <cfRule type="cellIs" priority="144" operator="equal" dxfId="2">
      <formula>"P"</formula>
    </cfRule>
    <cfRule type="cellIs" priority="145" operator="equal" dxfId="3">
      <formula>"N"</formula>
    </cfRule>
    <cfRule type="cellIs" priority="146" operator="equal" dxfId="4">
      <formula>"AL"</formula>
    </cfRule>
    <cfRule type="cellIs" priority="147" operator="equal" dxfId="5">
      <formula>"SL"</formula>
    </cfRule>
  </conditionalFormatting>
  <conditionalFormatting sqref="A30:A37">
    <cfRule type="expression" priority="148" dxfId="6">
      <formula>AND(A$30&lt;&gt;"",A$31&lt;&gt;"")</formula>
    </cfRule>
  </conditionalFormatting>
  <conditionalFormatting sqref="A32:A37">
    <cfRule type="cellIs" priority="149" operator="equal" dxfId="0">
      <formula>"S"</formula>
    </cfRule>
    <cfRule type="cellIs" priority="150" operator="equal" dxfId="1">
      <formula>"A"</formula>
    </cfRule>
    <cfRule type="cellIs" priority="151" operator="equal" dxfId="2">
      <formula>"P"</formula>
    </cfRule>
    <cfRule type="cellIs" priority="152" operator="equal" dxfId="3">
      <formula>"N"</formula>
    </cfRule>
    <cfRule type="cellIs" priority="153" operator="equal" dxfId="4">
      <formula>"AL"</formula>
    </cfRule>
    <cfRule type="cellIs" priority="154" operator="equal" dxfId="5">
      <formula>"SL"</formula>
    </cfRule>
  </conditionalFormatting>
  <conditionalFormatting sqref="B30:B37">
    <cfRule type="expression" priority="155" dxfId="6">
      <formula>AND(B$30&lt;&gt;"",B$31&lt;&gt;"")</formula>
    </cfRule>
  </conditionalFormatting>
  <conditionalFormatting sqref="B32:B37">
    <cfRule type="cellIs" priority="156" operator="equal" dxfId="0">
      <formula>"S"</formula>
    </cfRule>
    <cfRule type="cellIs" priority="157" operator="equal" dxfId="1">
      <formula>"A"</formula>
    </cfRule>
    <cfRule type="cellIs" priority="158" operator="equal" dxfId="2">
      <formula>"P"</formula>
    </cfRule>
    <cfRule type="cellIs" priority="159" operator="equal" dxfId="3">
      <formula>"N"</formula>
    </cfRule>
    <cfRule type="cellIs" priority="160" operator="equal" dxfId="4">
      <formula>"AL"</formula>
    </cfRule>
    <cfRule type="cellIs" priority="161" operator="equal" dxfId="5">
      <formula>"SL"</formula>
    </cfRule>
  </conditionalFormatting>
  <conditionalFormatting sqref="C30:C37">
    <cfRule type="expression" priority="162" dxfId="6">
      <formula>AND(C$30&lt;&gt;"",C$31&lt;&gt;"")</formula>
    </cfRule>
  </conditionalFormatting>
  <conditionalFormatting sqref="C32:C37">
    <cfRule type="cellIs" priority="163" operator="equal" dxfId="0">
      <formula>"S"</formula>
    </cfRule>
    <cfRule type="cellIs" priority="164" operator="equal" dxfId="1">
      <formula>"A"</formula>
    </cfRule>
    <cfRule type="cellIs" priority="165" operator="equal" dxfId="2">
      <formula>"P"</formula>
    </cfRule>
    <cfRule type="cellIs" priority="166" operator="equal" dxfId="3">
      <formula>"N"</formula>
    </cfRule>
    <cfRule type="cellIs" priority="167" operator="equal" dxfId="4">
      <formula>"AL"</formula>
    </cfRule>
    <cfRule type="cellIs" priority="168" operator="equal" dxfId="5">
      <formula>"SL"</formula>
    </cfRule>
  </conditionalFormatting>
  <conditionalFormatting sqref="D30:D37">
    <cfRule type="expression" priority="169" dxfId="6">
      <formula>AND(D$30&lt;&gt;"",D$31&lt;&gt;"")</formula>
    </cfRule>
  </conditionalFormatting>
  <conditionalFormatting sqref="D32:D37">
    <cfRule type="cellIs" priority="170" operator="equal" dxfId="0">
      <formula>"S"</formula>
    </cfRule>
    <cfRule type="cellIs" priority="171" operator="equal" dxfId="1">
      <formula>"A"</formula>
    </cfRule>
    <cfRule type="cellIs" priority="172" operator="equal" dxfId="2">
      <formula>"P"</formula>
    </cfRule>
    <cfRule type="cellIs" priority="173" operator="equal" dxfId="3">
      <formula>"N"</formula>
    </cfRule>
    <cfRule type="cellIs" priority="174" operator="equal" dxfId="4">
      <formula>"AL"</formula>
    </cfRule>
    <cfRule type="cellIs" priority="175" operator="equal" dxfId="5">
      <formula>"SL"</formula>
    </cfRule>
  </conditionalFormatting>
  <conditionalFormatting sqref="E30:E37">
    <cfRule type="expression" priority="176" dxfId="6">
      <formula>AND(E$30&lt;&gt;"",E$31&lt;&gt;"")</formula>
    </cfRule>
  </conditionalFormatting>
  <conditionalFormatting sqref="E32:E37">
    <cfRule type="cellIs" priority="177" operator="equal" dxfId="0">
      <formula>"S"</formula>
    </cfRule>
    <cfRule type="cellIs" priority="178" operator="equal" dxfId="1">
      <formula>"A"</formula>
    </cfRule>
    <cfRule type="cellIs" priority="179" operator="equal" dxfId="2">
      <formula>"P"</formula>
    </cfRule>
    <cfRule type="cellIs" priority="180" operator="equal" dxfId="3">
      <formula>"N"</formula>
    </cfRule>
    <cfRule type="cellIs" priority="181" operator="equal" dxfId="4">
      <formula>"AL"</formula>
    </cfRule>
    <cfRule type="cellIs" priority="182" operator="equal" dxfId="5">
      <formula>"SL"</formula>
    </cfRule>
  </conditionalFormatting>
  <conditionalFormatting sqref="F30:F37">
    <cfRule type="expression" priority="183" dxfId="6">
      <formula>AND(F$30&lt;&gt;"",F$31&lt;&gt;"")</formula>
    </cfRule>
  </conditionalFormatting>
  <conditionalFormatting sqref="F32:F37">
    <cfRule type="cellIs" priority="184" operator="equal" dxfId="0">
      <formula>"S"</formula>
    </cfRule>
    <cfRule type="cellIs" priority="185" operator="equal" dxfId="1">
      <formula>"A"</formula>
    </cfRule>
    <cfRule type="cellIs" priority="186" operator="equal" dxfId="2">
      <formula>"P"</formula>
    </cfRule>
    <cfRule type="cellIs" priority="187" operator="equal" dxfId="3">
      <formula>"N"</formula>
    </cfRule>
    <cfRule type="cellIs" priority="188" operator="equal" dxfId="4">
      <formula>"AL"</formula>
    </cfRule>
    <cfRule type="cellIs" priority="189" operator="equal" dxfId="5">
      <formula>"SL"</formula>
    </cfRule>
  </conditionalFormatting>
  <conditionalFormatting sqref="G30:G37">
    <cfRule type="expression" priority="190" dxfId="6">
      <formula>AND(G$30&lt;&gt;"",G$31&lt;&gt;"")</formula>
    </cfRule>
  </conditionalFormatting>
  <conditionalFormatting sqref="G32:G37">
    <cfRule type="cellIs" priority="191" operator="equal" dxfId="0">
      <formula>"S"</formula>
    </cfRule>
    <cfRule type="cellIs" priority="192" operator="equal" dxfId="1">
      <formula>"A"</formula>
    </cfRule>
    <cfRule type="cellIs" priority="193" operator="equal" dxfId="2">
      <formula>"P"</formula>
    </cfRule>
    <cfRule type="cellIs" priority="194" operator="equal" dxfId="3">
      <formula>"N"</formula>
    </cfRule>
    <cfRule type="cellIs" priority="195" operator="equal" dxfId="4">
      <formula>"AL"</formula>
    </cfRule>
    <cfRule type="cellIs" priority="196" operator="equal" dxfId="5">
      <formula>"SL"</formula>
    </cfRule>
  </conditionalFormatting>
  <conditionalFormatting sqref="A38:A45">
    <cfRule type="expression" priority="197" dxfId="6">
      <formula>AND(A$38&lt;&gt;"",A$39&lt;&gt;"")</formula>
    </cfRule>
  </conditionalFormatting>
  <conditionalFormatting sqref="A40:A45">
    <cfRule type="cellIs" priority="198" operator="equal" dxfId="0">
      <formula>"S"</formula>
    </cfRule>
    <cfRule type="cellIs" priority="199" operator="equal" dxfId="1">
      <formula>"A"</formula>
    </cfRule>
    <cfRule type="cellIs" priority="200" operator="equal" dxfId="2">
      <formula>"P"</formula>
    </cfRule>
    <cfRule type="cellIs" priority="201" operator="equal" dxfId="3">
      <formula>"N"</formula>
    </cfRule>
    <cfRule type="cellIs" priority="202" operator="equal" dxfId="4">
      <formula>"AL"</formula>
    </cfRule>
    <cfRule type="cellIs" priority="203" operator="equal" dxfId="5">
      <formula>"SL"</formula>
    </cfRule>
  </conditionalFormatting>
  <conditionalFormatting sqref="B38:B45">
    <cfRule type="expression" priority="204" dxfId="6">
      <formula>AND(B$38&lt;&gt;"",B$39&lt;&gt;"")</formula>
    </cfRule>
  </conditionalFormatting>
  <conditionalFormatting sqref="B40:B45">
    <cfRule type="cellIs" priority="205" operator="equal" dxfId="0">
      <formula>"S"</formula>
    </cfRule>
    <cfRule type="cellIs" priority="206" operator="equal" dxfId="1">
      <formula>"A"</formula>
    </cfRule>
    <cfRule type="cellIs" priority="207" operator="equal" dxfId="2">
      <formula>"P"</formula>
    </cfRule>
    <cfRule type="cellIs" priority="208" operator="equal" dxfId="3">
      <formula>"N"</formula>
    </cfRule>
    <cfRule type="cellIs" priority="209" operator="equal" dxfId="4">
      <formula>"AL"</formula>
    </cfRule>
    <cfRule type="cellIs" priority="210" operator="equal" dxfId="5">
      <formula>"SL"</formula>
    </cfRule>
  </conditionalFormatting>
  <conditionalFormatting sqref="C38:C45">
    <cfRule type="expression" priority="211" dxfId="6">
      <formula>AND(C$38&lt;&gt;"",C$39&lt;&gt;"")</formula>
    </cfRule>
  </conditionalFormatting>
  <conditionalFormatting sqref="C40:C45">
    <cfRule type="cellIs" priority="212" operator="equal" dxfId="0">
      <formula>"S"</formula>
    </cfRule>
    <cfRule type="cellIs" priority="213" operator="equal" dxfId="1">
      <formula>"A"</formula>
    </cfRule>
    <cfRule type="cellIs" priority="214" operator="equal" dxfId="2">
      <formula>"P"</formula>
    </cfRule>
    <cfRule type="cellIs" priority="215" operator="equal" dxfId="3">
      <formula>"N"</formula>
    </cfRule>
    <cfRule type="cellIs" priority="216" operator="equal" dxfId="4">
      <formula>"AL"</formula>
    </cfRule>
    <cfRule type="cellIs" priority="217" operator="equal" dxfId="5">
      <formula>"SL"</formula>
    </cfRule>
  </conditionalFormatting>
  <conditionalFormatting sqref="D38:D45">
    <cfRule type="expression" priority="218" dxfId="6">
      <formula>AND(D$38&lt;&gt;"",D$39&lt;&gt;"")</formula>
    </cfRule>
  </conditionalFormatting>
  <conditionalFormatting sqref="D40:D45">
    <cfRule type="cellIs" priority="219" operator="equal" dxfId="0">
      <formula>"S"</formula>
    </cfRule>
    <cfRule type="cellIs" priority="220" operator="equal" dxfId="1">
      <formula>"A"</formula>
    </cfRule>
    <cfRule type="cellIs" priority="221" operator="equal" dxfId="2">
      <formula>"P"</formula>
    </cfRule>
    <cfRule type="cellIs" priority="222" operator="equal" dxfId="3">
      <formula>"N"</formula>
    </cfRule>
    <cfRule type="cellIs" priority="223" operator="equal" dxfId="4">
      <formula>"AL"</formula>
    </cfRule>
    <cfRule type="cellIs" priority="224" operator="equal" dxfId="5">
      <formula>"SL"</formula>
    </cfRule>
  </conditionalFormatting>
  <conditionalFormatting sqref="E38:E45">
    <cfRule type="expression" priority="225" dxfId="6">
      <formula>AND(E$38&lt;&gt;"",E$39&lt;&gt;"")</formula>
    </cfRule>
  </conditionalFormatting>
  <conditionalFormatting sqref="E40:E45">
    <cfRule type="cellIs" priority="226" operator="equal" dxfId="0">
      <formula>"S"</formula>
    </cfRule>
    <cfRule type="cellIs" priority="227" operator="equal" dxfId="1">
      <formula>"A"</formula>
    </cfRule>
    <cfRule type="cellIs" priority="228" operator="equal" dxfId="2">
      <formula>"P"</formula>
    </cfRule>
    <cfRule type="cellIs" priority="229" operator="equal" dxfId="3">
      <formula>"N"</formula>
    </cfRule>
    <cfRule type="cellIs" priority="230" operator="equal" dxfId="4">
      <formula>"AL"</formula>
    </cfRule>
    <cfRule type="cellIs" priority="231" operator="equal" dxfId="5">
      <formula>"SL"</formula>
    </cfRule>
  </conditionalFormatting>
  <conditionalFormatting sqref="F38:F45">
    <cfRule type="expression" priority="232" dxfId="6">
      <formula>AND(F$38&lt;&gt;"",F$39&lt;&gt;"")</formula>
    </cfRule>
  </conditionalFormatting>
  <conditionalFormatting sqref="F40:F45">
    <cfRule type="cellIs" priority="233" operator="equal" dxfId="0">
      <formula>"S"</formula>
    </cfRule>
    <cfRule type="cellIs" priority="234" operator="equal" dxfId="1">
      <formula>"A"</formula>
    </cfRule>
    <cfRule type="cellIs" priority="235" operator="equal" dxfId="2">
      <formula>"P"</formula>
    </cfRule>
    <cfRule type="cellIs" priority="236" operator="equal" dxfId="3">
      <formula>"N"</formula>
    </cfRule>
    <cfRule type="cellIs" priority="237" operator="equal" dxfId="4">
      <formula>"AL"</formula>
    </cfRule>
    <cfRule type="cellIs" priority="238" operator="equal" dxfId="5">
      <formula>"SL"</formula>
    </cfRule>
  </conditionalFormatting>
  <conditionalFormatting sqref="G38:G45">
    <cfRule type="expression" priority="239" dxfId="6">
      <formula>AND(G$38&lt;&gt;"",G$39&lt;&gt;"")</formula>
    </cfRule>
  </conditionalFormatting>
  <conditionalFormatting sqref="G40:G45">
    <cfRule type="cellIs" priority="240" operator="equal" dxfId="0">
      <formula>"S"</formula>
    </cfRule>
    <cfRule type="cellIs" priority="241" operator="equal" dxfId="1">
      <formula>"A"</formula>
    </cfRule>
    <cfRule type="cellIs" priority="242" operator="equal" dxfId="2">
      <formula>"P"</formula>
    </cfRule>
    <cfRule type="cellIs" priority="243" operator="equal" dxfId="3">
      <formula>"N"</formula>
    </cfRule>
    <cfRule type="cellIs" priority="244" operator="equal" dxfId="4">
      <formula>"AL"</formula>
    </cfRule>
    <cfRule type="cellIs" priority="245" operator="equal" dxfId="5">
      <formula>"SL"</formula>
    </cfRule>
  </conditionalFormatting>
  <conditionalFormatting sqref="A46:A53">
    <cfRule type="expression" priority="246" dxfId="6">
      <formula>AND(A$46&lt;&gt;"",A$47&lt;&gt;"")</formula>
    </cfRule>
  </conditionalFormatting>
  <conditionalFormatting sqref="A48:A53">
    <cfRule type="cellIs" priority="247" operator="equal" dxfId="0">
      <formula>"S"</formula>
    </cfRule>
    <cfRule type="cellIs" priority="248" operator="equal" dxfId="1">
      <formula>"A"</formula>
    </cfRule>
    <cfRule type="cellIs" priority="249" operator="equal" dxfId="2">
      <formula>"P"</formula>
    </cfRule>
    <cfRule type="cellIs" priority="250" operator="equal" dxfId="3">
      <formula>"N"</formula>
    </cfRule>
    <cfRule type="cellIs" priority="251" operator="equal" dxfId="4">
      <formula>"AL"</formula>
    </cfRule>
    <cfRule type="cellIs" priority="252" operator="equal" dxfId="5">
      <formula>"SL"</formula>
    </cfRule>
  </conditionalFormatting>
  <conditionalFormatting sqref="B46:B53">
    <cfRule type="expression" priority="253" dxfId="6">
      <formula>AND(B$46&lt;&gt;"",B$47&lt;&gt;"")</formula>
    </cfRule>
  </conditionalFormatting>
  <conditionalFormatting sqref="B48:B53">
    <cfRule type="cellIs" priority="254" operator="equal" dxfId="0">
      <formula>"S"</formula>
    </cfRule>
    <cfRule type="cellIs" priority="255" operator="equal" dxfId="1">
      <formula>"A"</formula>
    </cfRule>
    <cfRule type="cellIs" priority="256" operator="equal" dxfId="2">
      <formula>"P"</formula>
    </cfRule>
    <cfRule type="cellIs" priority="257" operator="equal" dxfId="3">
      <formula>"N"</formula>
    </cfRule>
    <cfRule type="cellIs" priority="258" operator="equal" dxfId="4">
      <formula>"AL"</formula>
    </cfRule>
    <cfRule type="cellIs" priority="259" operator="equal" dxfId="5">
      <formula>"SL"</formula>
    </cfRule>
  </conditionalFormatting>
  <conditionalFormatting sqref="C46:C53">
    <cfRule type="expression" priority="260" dxfId="6">
      <formula>AND(C$46&lt;&gt;"",C$47&lt;&gt;"")</formula>
    </cfRule>
  </conditionalFormatting>
  <conditionalFormatting sqref="C48:C53">
    <cfRule type="cellIs" priority="261" operator="equal" dxfId="0">
      <formula>"S"</formula>
    </cfRule>
    <cfRule type="cellIs" priority="262" operator="equal" dxfId="1">
      <formula>"A"</formula>
    </cfRule>
    <cfRule type="cellIs" priority="263" operator="equal" dxfId="2">
      <formula>"P"</formula>
    </cfRule>
    <cfRule type="cellIs" priority="264" operator="equal" dxfId="3">
      <formula>"N"</formula>
    </cfRule>
    <cfRule type="cellIs" priority="265" operator="equal" dxfId="4">
      <formula>"AL"</formula>
    </cfRule>
    <cfRule type="cellIs" priority="266" operator="equal" dxfId="5">
      <formula>"SL"</formula>
    </cfRule>
  </conditionalFormatting>
  <conditionalFormatting sqref="D46:D53">
    <cfRule type="expression" priority="267" dxfId="6">
      <formula>AND(D$46&lt;&gt;"",D$47&lt;&gt;"")</formula>
    </cfRule>
  </conditionalFormatting>
  <conditionalFormatting sqref="D48:D53">
    <cfRule type="cellIs" priority="268" operator="equal" dxfId="0">
      <formula>"S"</formula>
    </cfRule>
    <cfRule type="cellIs" priority="269" operator="equal" dxfId="1">
      <formula>"A"</formula>
    </cfRule>
    <cfRule type="cellIs" priority="270" operator="equal" dxfId="2">
      <formula>"P"</formula>
    </cfRule>
    <cfRule type="cellIs" priority="271" operator="equal" dxfId="3">
      <formula>"N"</formula>
    </cfRule>
    <cfRule type="cellIs" priority="272" operator="equal" dxfId="4">
      <formula>"AL"</formula>
    </cfRule>
    <cfRule type="cellIs" priority="273" operator="equal" dxfId="5">
      <formula>"SL"</formula>
    </cfRule>
  </conditionalFormatting>
  <conditionalFormatting sqref="E46:E53">
    <cfRule type="expression" priority="274" dxfId="6">
      <formula>AND(E$46&lt;&gt;"",E$47&lt;&gt;"")</formula>
    </cfRule>
  </conditionalFormatting>
  <conditionalFormatting sqref="E48:E53">
    <cfRule type="cellIs" priority="275" operator="equal" dxfId="0">
      <formula>"S"</formula>
    </cfRule>
    <cfRule type="cellIs" priority="276" operator="equal" dxfId="1">
      <formula>"A"</formula>
    </cfRule>
    <cfRule type="cellIs" priority="277" operator="equal" dxfId="2">
      <formula>"P"</formula>
    </cfRule>
    <cfRule type="cellIs" priority="278" operator="equal" dxfId="3">
      <formula>"N"</formula>
    </cfRule>
    <cfRule type="cellIs" priority="279" operator="equal" dxfId="4">
      <formula>"AL"</formula>
    </cfRule>
    <cfRule type="cellIs" priority="280" operator="equal" dxfId="5">
      <formula>"SL"</formula>
    </cfRule>
  </conditionalFormatting>
  <conditionalFormatting sqref="F46:F53">
    <cfRule type="expression" priority="281" dxfId="6">
      <formula>AND(F$46&lt;&gt;"",F$47&lt;&gt;"")</formula>
    </cfRule>
  </conditionalFormatting>
  <conditionalFormatting sqref="F48:F53">
    <cfRule type="cellIs" priority="282" operator="equal" dxfId="0">
      <formula>"S"</formula>
    </cfRule>
    <cfRule type="cellIs" priority="283" operator="equal" dxfId="1">
      <formula>"A"</formula>
    </cfRule>
    <cfRule type="cellIs" priority="284" operator="equal" dxfId="2">
      <formula>"P"</formula>
    </cfRule>
    <cfRule type="cellIs" priority="285" operator="equal" dxfId="3">
      <formula>"N"</formula>
    </cfRule>
    <cfRule type="cellIs" priority="286" operator="equal" dxfId="4">
      <formula>"AL"</formula>
    </cfRule>
    <cfRule type="cellIs" priority="287" operator="equal" dxfId="5">
      <formula>"SL"</formula>
    </cfRule>
  </conditionalFormatting>
  <conditionalFormatting sqref="G46:G53">
    <cfRule type="expression" priority="288" dxfId="6">
      <formula>AND(G$46&lt;&gt;"",G$47&lt;&gt;"")</formula>
    </cfRule>
  </conditionalFormatting>
  <conditionalFormatting sqref="G48:G53">
    <cfRule type="cellIs" priority="289" operator="equal" dxfId="0">
      <formula>"S"</formula>
    </cfRule>
    <cfRule type="cellIs" priority="290" operator="equal" dxfId="1">
      <formula>"A"</formula>
    </cfRule>
    <cfRule type="cellIs" priority="291" operator="equal" dxfId="2">
      <formula>"P"</formula>
    </cfRule>
    <cfRule type="cellIs" priority="292" operator="equal" dxfId="3">
      <formula>"N"</formula>
    </cfRule>
    <cfRule type="cellIs" priority="293" operator="equal" dxfId="4">
      <formula>"AL"</formula>
    </cfRule>
    <cfRule type="cellIs" priority="294" operator="equal" dxfId="5">
      <formula>"SL"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公眾假期上班登記</t>
        </is>
      </c>
    </row>
    <row r="2">
      <c r="A2" s="30" t="inlineStr">
        <is>
          <t>日期／假期名稱自動由「公眾假期」帶入。請在「上班人員1～6」以手動（下拉）登記當日實際上班者。補假次數由此表統計，排班表補假欄會自動引用。</t>
        </is>
      </c>
    </row>
    <row r="4">
      <c r="A4" s="18" t="inlineStr">
        <is>
          <t>日期</t>
        </is>
      </c>
      <c r="B4" s="18" t="inlineStr">
        <is>
          <t>假期名稱</t>
        </is>
      </c>
      <c r="C4" s="18" t="inlineStr">
        <is>
          <t>上班人員1</t>
        </is>
      </c>
      <c r="D4" s="18" t="inlineStr">
        <is>
          <t>上班人員2</t>
        </is>
      </c>
      <c r="E4" s="18" t="inlineStr">
        <is>
          <t>上班人員3</t>
        </is>
      </c>
      <c r="F4" s="18" t="inlineStr">
        <is>
          <t>上班人員4</t>
        </is>
      </c>
      <c r="G4" s="18" t="inlineStr">
        <is>
          <t>上班人員5</t>
        </is>
      </c>
      <c r="H4" s="18" t="inlineStr">
        <is>
          <t>上班人員6</t>
        </is>
      </c>
    </row>
    <row r="5">
      <c r="A5" s="46">
        <f>IF('公眾假期'!A5="","",'公眾假期'!A5)</f>
        <v/>
      </c>
      <c r="B5" s="47">
        <f>IF('公眾假期'!B5="","",'公眾假期'!B5)</f>
        <v/>
      </c>
      <c r="C5" s="22" t="n"/>
      <c r="D5" s="22" t="n"/>
      <c r="E5" s="22" t="n"/>
      <c r="F5" s="22" t="n"/>
      <c r="G5" s="22" t="n"/>
      <c r="H5" s="22" t="n"/>
    </row>
    <row r="6">
      <c r="A6" s="46">
        <f>IF('公眾假期'!A6="","",'公眾假期'!A6)</f>
        <v/>
      </c>
      <c r="B6" s="47">
        <f>IF('公眾假期'!B6="","",'公眾假期'!B6)</f>
        <v/>
      </c>
      <c r="C6" s="22" t="n"/>
      <c r="D6" s="22" t="n"/>
      <c r="E6" s="22" t="n"/>
      <c r="F6" s="22" t="n"/>
      <c r="G6" s="22" t="n"/>
      <c r="H6" s="22" t="n"/>
    </row>
    <row r="7">
      <c r="A7" s="46">
        <f>IF('公眾假期'!A7="","",'公眾假期'!A7)</f>
        <v/>
      </c>
      <c r="B7" s="47">
        <f>IF('公眾假期'!B7="","",'公眾假期'!B7)</f>
        <v/>
      </c>
      <c r="C7" s="22" t="n"/>
      <c r="D7" s="22" t="n"/>
      <c r="E7" s="22" t="n"/>
      <c r="F7" s="22" t="n"/>
      <c r="G7" s="22" t="n"/>
      <c r="H7" s="22" t="n"/>
    </row>
    <row r="8">
      <c r="A8" s="46">
        <f>IF('公眾假期'!A8="","",'公眾假期'!A8)</f>
        <v/>
      </c>
      <c r="B8" s="47">
        <f>IF('公眾假期'!B8="","",'公眾假期'!B8)</f>
        <v/>
      </c>
      <c r="C8" s="22" t="n"/>
      <c r="D8" s="22" t="n"/>
      <c r="E8" s="22" t="n"/>
      <c r="F8" s="22" t="n"/>
      <c r="G8" s="22" t="n"/>
      <c r="H8" s="22" t="n"/>
    </row>
    <row r="9">
      <c r="A9" s="46">
        <f>IF('公眾假期'!A9="","",'公眾假期'!A9)</f>
        <v/>
      </c>
      <c r="B9" s="47">
        <f>IF('公眾假期'!B9="","",'公眾假期'!B9)</f>
        <v/>
      </c>
      <c r="C9" s="22" t="n"/>
      <c r="D9" s="22" t="n"/>
      <c r="E9" s="22" t="n"/>
      <c r="F9" s="22" t="n"/>
      <c r="G9" s="22" t="n"/>
      <c r="H9" s="22" t="n"/>
    </row>
    <row r="10">
      <c r="A10" s="46">
        <f>IF('公眾假期'!A10="","",'公眾假期'!A10)</f>
        <v/>
      </c>
      <c r="B10" s="47">
        <f>IF('公眾假期'!B10="","",'公眾假期'!B10)</f>
        <v/>
      </c>
      <c r="C10" s="22" t="n"/>
      <c r="D10" s="22" t="n"/>
      <c r="E10" s="22" t="n"/>
      <c r="F10" s="22" t="n"/>
      <c r="G10" s="22" t="n"/>
      <c r="H10" s="22" t="n"/>
    </row>
    <row r="11">
      <c r="A11" s="46">
        <f>IF('公眾假期'!A11="","",'公眾假期'!A11)</f>
        <v/>
      </c>
      <c r="B11" s="47">
        <f>IF('公眾假期'!B11="","",'公眾假期'!B11)</f>
        <v/>
      </c>
      <c r="C11" s="22" t="n"/>
      <c r="D11" s="22" t="n"/>
      <c r="E11" s="22" t="n"/>
      <c r="F11" s="22" t="n"/>
      <c r="G11" s="22" t="n"/>
      <c r="H11" s="22" t="n"/>
    </row>
    <row r="12">
      <c r="A12" s="46">
        <f>IF('公眾假期'!A12="","",'公眾假期'!A12)</f>
        <v/>
      </c>
      <c r="B12" s="47">
        <f>IF('公眾假期'!B12="","",'公眾假期'!B12)</f>
        <v/>
      </c>
      <c r="C12" s="22" t="n"/>
      <c r="D12" s="22" t="n"/>
      <c r="E12" s="22" t="n"/>
      <c r="F12" s="22" t="n"/>
      <c r="G12" s="22" t="n"/>
      <c r="H12" s="22" t="n"/>
    </row>
    <row r="13">
      <c r="A13" s="46">
        <f>IF('公眾假期'!A13="","",'公眾假期'!A13)</f>
        <v/>
      </c>
      <c r="B13" s="47">
        <f>IF('公眾假期'!B13="","",'公眾假期'!B13)</f>
        <v/>
      </c>
      <c r="C13" s="22" t="n"/>
      <c r="D13" s="22" t="n"/>
      <c r="E13" s="22" t="n"/>
      <c r="F13" s="22" t="n"/>
      <c r="G13" s="22" t="n"/>
      <c r="H13" s="22" t="n"/>
    </row>
    <row r="14">
      <c r="A14" s="46">
        <f>IF('公眾假期'!A14="","",'公眾假期'!A14)</f>
        <v/>
      </c>
      <c r="B14" s="47">
        <f>IF('公眾假期'!B14="","",'公眾假期'!B14)</f>
        <v/>
      </c>
      <c r="C14" s="22" t="n"/>
      <c r="D14" s="22" t="n"/>
      <c r="E14" s="22" t="n"/>
      <c r="F14" s="22" t="n"/>
      <c r="G14" s="22" t="n"/>
      <c r="H14" s="22" t="n"/>
    </row>
    <row r="15">
      <c r="A15" s="46">
        <f>IF('公眾假期'!A15="","",'公眾假期'!A15)</f>
        <v/>
      </c>
      <c r="B15" s="47">
        <f>IF('公眾假期'!B15="","",'公眾假期'!B15)</f>
        <v/>
      </c>
      <c r="C15" s="22" t="n"/>
      <c r="D15" s="22" t="n"/>
      <c r="E15" s="22" t="n"/>
      <c r="F15" s="22" t="n"/>
      <c r="G15" s="22" t="n"/>
      <c r="H15" s="22" t="n"/>
    </row>
    <row r="16">
      <c r="A16" s="46">
        <f>IF('公眾假期'!A16="","",'公眾假期'!A16)</f>
        <v/>
      </c>
      <c r="B16" s="47">
        <f>IF('公眾假期'!B16="","",'公眾假期'!B16)</f>
        <v/>
      </c>
      <c r="C16" s="22" t="n"/>
      <c r="D16" s="22" t="n"/>
      <c r="E16" s="22" t="n"/>
      <c r="F16" s="22" t="n"/>
      <c r="G16" s="22" t="n"/>
      <c r="H16" s="22" t="n"/>
    </row>
    <row r="17">
      <c r="A17" s="46">
        <f>IF('公眾假期'!A17="","",'公眾假期'!A17)</f>
        <v/>
      </c>
      <c r="B17" s="47">
        <f>IF('公眾假期'!B17="","",'公眾假期'!B17)</f>
        <v/>
      </c>
      <c r="C17" s="22" t="n"/>
      <c r="D17" s="22" t="n"/>
      <c r="E17" s="22" t="n"/>
      <c r="F17" s="22" t="n"/>
      <c r="G17" s="22" t="n"/>
      <c r="H17" s="22" t="n"/>
    </row>
    <row r="18">
      <c r="A18" s="46">
        <f>IF('公眾假期'!A18="","",'公眾假期'!A18)</f>
        <v/>
      </c>
      <c r="B18" s="47">
        <f>IF('公眾假期'!B18="","",'公眾假期'!B18)</f>
        <v/>
      </c>
      <c r="C18" s="22" t="n"/>
      <c r="D18" s="22" t="n"/>
      <c r="E18" s="22" t="n"/>
      <c r="F18" s="22" t="n"/>
      <c r="G18" s="22" t="n"/>
      <c r="H18" s="22" t="n"/>
    </row>
    <row r="19">
      <c r="A19" s="46">
        <f>IF('公眾假期'!A19="","",'公眾假期'!A19)</f>
        <v/>
      </c>
      <c r="B19" s="47">
        <f>IF('公眾假期'!B19="","",'公眾假期'!B19)</f>
        <v/>
      </c>
      <c r="C19" s="22" t="n"/>
      <c r="D19" s="22" t="n"/>
      <c r="E19" s="22" t="n"/>
      <c r="F19" s="22" t="n"/>
      <c r="G19" s="22" t="n"/>
      <c r="H19" s="22" t="n"/>
    </row>
    <row r="20">
      <c r="A20" s="46">
        <f>IF('公眾假期'!A20="","",'公眾假期'!A20)</f>
        <v/>
      </c>
      <c r="B20" s="47">
        <f>IF('公眾假期'!B20="","",'公眾假期'!B20)</f>
        <v/>
      </c>
      <c r="C20" s="22" t="n"/>
      <c r="D20" s="22" t="n"/>
      <c r="E20" s="22" t="n"/>
      <c r="F20" s="22" t="n"/>
      <c r="G20" s="22" t="n"/>
      <c r="H20" s="22" t="n"/>
    </row>
    <row r="21">
      <c r="A21" s="46">
        <f>IF('公眾假期'!A21="","",'公眾假期'!A21)</f>
        <v/>
      </c>
      <c r="B21" s="47">
        <f>IF('公眾假期'!B21="","",'公眾假期'!B21)</f>
        <v/>
      </c>
      <c r="C21" s="22" t="n"/>
      <c r="D21" s="22" t="n"/>
      <c r="E21" s="22" t="n"/>
      <c r="F21" s="22" t="n"/>
      <c r="G21" s="22" t="n"/>
      <c r="H21" s="22" t="n"/>
    </row>
    <row r="22">
      <c r="A22" s="46">
        <f>IF('公眾假期'!A22="","",'公眾假期'!A22)</f>
        <v/>
      </c>
      <c r="B22" s="47">
        <f>IF('公眾假期'!B22="","",'公眾假期'!B22)</f>
        <v/>
      </c>
      <c r="C22" s="22" t="n"/>
      <c r="D22" s="22" t="n"/>
      <c r="E22" s="22" t="n"/>
      <c r="F22" s="22" t="n"/>
      <c r="G22" s="22" t="n"/>
      <c r="H22" s="22" t="n"/>
    </row>
    <row r="23">
      <c r="A23" s="46">
        <f>IF('公眾假期'!A23="","",'公眾假期'!A23)</f>
        <v/>
      </c>
      <c r="B23" s="47">
        <f>IF('公眾假期'!B23="","",'公眾假期'!B23)</f>
        <v/>
      </c>
      <c r="C23" s="22" t="n"/>
      <c r="D23" s="22" t="n"/>
      <c r="E23" s="22" t="n"/>
      <c r="F23" s="22" t="n"/>
      <c r="G23" s="22" t="n"/>
      <c r="H23" s="22" t="n"/>
    </row>
    <row r="24">
      <c r="A24" s="46">
        <f>IF('公眾假期'!A24="","",'公眾假期'!A24)</f>
        <v/>
      </c>
      <c r="B24" s="47">
        <f>IF('公眾假期'!B24="","",'公眾假期'!B24)</f>
        <v/>
      </c>
      <c r="C24" s="22" t="n"/>
      <c r="D24" s="22" t="n"/>
      <c r="E24" s="22" t="n"/>
      <c r="F24" s="22" t="n"/>
      <c r="G24" s="22" t="n"/>
      <c r="H24" s="22" t="n"/>
    </row>
    <row r="25">
      <c r="A25" s="46">
        <f>IF('公眾假期'!A25="","",'公眾假期'!A25)</f>
        <v/>
      </c>
      <c r="B25" s="47">
        <f>IF('公眾假期'!B25="","",'公眾假期'!B25)</f>
        <v/>
      </c>
      <c r="C25" s="22" t="n"/>
      <c r="D25" s="22" t="n"/>
      <c r="E25" s="22" t="n"/>
      <c r="F25" s="22" t="n"/>
      <c r="G25" s="22" t="n"/>
      <c r="H25" s="22" t="n"/>
    </row>
    <row r="26">
      <c r="A26" s="46">
        <f>IF('公眾假期'!A26="","",'公眾假期'!A26)</f>
        <v/>
      </c>
      <c r="B26" s="47">
        <f>IF('公眾假期'!B26="","",'公眾假期'!B26)</f>
        <v/>
      </c>
      <c r="C26" s="22" t="n"/>
      <c r="D26" s="22" t="n"/>
      <c r="E26" s="22" t="n"/>
      <c r="F26" s="22" t="n"/>
      <c r="G26" s="22" t="n"/>
      <c r="H26" s="22" t="n"/>
    </row>
    <row r="27">
      <c r="A27" s="46">
        <f>IF('公眾假期'!A27="","",'公眾假期'!A27)</f>
        <v/>
      </c>
      <c r="B27" s="47">
        <f>IF('公眾假期'!B27="","",'公眾假期'!B27)</f>
        <v/>
      </c>
      <c r="C27" s="22" t="n"/>
      <c r="D27" s="22" t="n"/>
      <c r="E27" s="22" t="n"/>
      <c r="F27" s="22" t="n"/>
      <c r="G27" s="22" t="n"/>
      <c r="H27" s="22" t="n"/>
    </row>
    <row r="28">
      <c r="A28" s="46">
        <f>IF('公眾假期'!A28="","",'公眾假期'!A28)</f>
        <v/>
      </c>
      <c r="B28" s="47">
        <f>IF('公眾假期'!B28="","",'公眾假期'!B28)</f>
        <v/>
      </c>
      <c r="C28" s="22" t="n"/>
      <c r="D28" s="22" t="n"/>
      <c r="E28" s="22" t="n"/>
      <c r="F28" s="22" t="n"/>
      <c r="G28" s="22" t="n"/>
      <c r="H28" s="22" t="n"/>
    </row>
    <row r="29">
      <c r="A29" s="46">
        <f>IF('公眾假期'!A29="","",'公眾假期'!A29)</f>
        <v/>
      </c>
      <c r="B29" s="47">
        <f>IF('公眾假期'!B29="","",'公眾假期'!B29)</f>
        <v/>
      </c>
      <c r="C29" s="22" t="n"/>
      <c r="D29" s="22" t="n"/>
      <c r="E29" s="22" t="n"/>
      <c r="F29" s="22" t="n"/>
      <c r="G29" s="22" t="n"/>
      <c r="H29" s="22" t="n"/>
    </row>
    <row r="30">
      <c r="A30" s="46">
        <f>IF('公眾假期'!A30="","",'公眾假期'!A30)</f>
        <v/>
      </c>
      <c r="B30" s="47">
        <f>IF('公眾假期'!B30="","",'公眾假期'!B30)</f>
        <v/>
      </c>
      <c r="C30" s="22" t="n"/>
      <c r="D30" s="22" t="n"/>
      <c r="E30" s="22" t="n"/>
      <c r="F30" s="22" t="n"/>
      <c r="G30" s="22" t="n"/>
      <c r="H30" s="22" t="n"/>
    </row>
    <row r="31">
      <c r="A31" s="46">
        <f>IF('公眾假期'!A31="","",'公眾假期'!A31)</f>
        <v/>
      </c>
      <c r="B31" s="47">
        <f>IF('公眾假期'!B31="","",'公眾假期'!B31)</f>
        <v/>
      </c>
      <c r="C31" s="22" t="n"/>
      <c r="D31" s="22" t="n"/>
      <c r="E31" s="22" t="n"/>
      <c r="F31" s="22" t="n"/>
      <c r="G31" s="22" t="n"/>
      <c r="H31" s="22" t="n"/>
    </row>
    <row r="32">
      <c r="A32" s="46">
        <f>IF('公眾假期'!A32="","",'公眾假期'!A32)</f>
        <v/>
      </c>
      <c r="B32" s="47">
        <f>IF('公眾假期'!B32="","",'公眾假期'!B32)</f>
        <v/>
      </c>
      <c r="C32" s="22" t="n"/>
      <c r="D32" s="22" t="n"/>
      <c r="E32" s="22" t="n"/>
      <c r="F32" s="22" t="n"/>
      <c r="G32" s="22" t="n"/>
      <c r="H32" s="22" t="n"/>
    </row>
    <row r="33">
      <c r="A33" s="46">
        <f>IF('公眾假期'!A33="","",'公眾假期'!A33)</f>
        <v/>
      </c>
      <c r="B33" s="47">
        <f>IF('公眾假期'!B33="","",'公眾假期'!B33)</f>
        <v/>
      </c>
      <c r="C33" s="22" t="n"/>
      <c r="D33" s="22" t="n"/>
      <c r="E33" s="22" t="n"/>
      <c r="F33" s="22" t="n"/>
      <c r="G33" s="22" t="n"/>
      <c r="H33" s="22" t="n"/>
    </row>
    <row r="34">
      <c r="A34" s="46">
        <f>IF('公眾假期'!A34="","",'公眾假期'!A34)</f>
        <v/>
      </c>
      <c r="B34" s="47">
        <f>IF('公眾假期'!B34="","",'公眾假期'!B34)</f>
        <v/>
      </c>
      <c r="C34" s="22" t="n"/>
      <c r="D34" s="22" t="n"/>
      <c r="E34" s="22" t="n"/>
      <c r="F34" s="22" t="n"/>
      <c r="G34" s="22" t="n"/>
      <c r="H34" s="22" t="n"/>
    </row>
    <row r="35">
      <c r="A35" s="46">
        <f>IF('公眾假期'!A35="","",'公眾假期'!A35)</f>
        <v/>
      </c>
      <c r="B35" s="47">
        <f>IF('公眾假期'!B35="","",'公眾假期'!B35)</f>
        <v/>
      </c>
      <c r="C35" s="22" t="n"/>
      <c r="D35" s="22" t="n"/>
      <c r="E35" s="22" t="n"/>
      <c r="F35" s="22" t="n"/>
      <c r="G35" s="22" t="n"/>
      <c r="H35" s="22" t="n"/>
    </row>
    <row r="36">
      <c r="A36" s="46">
        <f>IF('公眾假期'!A36="","",'公眾假期'!A36)</f>
        <v/>
      </c>
      <c r="B36" s="47">
        <f>IF('公眾假期'!B36="","",'公眾假期'!B36)</f>
        <v/>
      </c>
      <c r="C36" s="22" t="n"/>
      <c r="D36" s="22" t="n"/>
      <c r="E36" s="22" t="n"/>
      <c r="F36" s="22" t="n"/>
      <c r="G36" s="22" t="n"/>
      <c r="H36" s="22" t="n"/>
    </row>
    <row r="37">
      <c r="A37" s="46">
        <f>IF('公眾假期'!A37="","",'公眾假期'!A37)</f>
        <v/>
      </c>
      <c r="B37" s="47">
        <f>IF('公眾假期'!B37="","",'公眾假期'!B37)</f>
        <v/>
      </c>
      <c r="C37" s="22" t="n"/>
      <c r="D37" s="22" t="n"/>
      <c r="E37" s="22" t="n"/>
      <c r="F37" s="22" t="n"/>
      <c r="G37" s="22" t="n"/>
      <c r="H37" s="22" t="n"/>
    </row>
    <row r="38">
      <c r="A38" s="46">
        <f>IF('公眾假期'!A38="","",'公眾假期'!A38)</f>
        <v/>
      </c>
      <c r="B38" s="47">
        <f>IF('公眾假期'!B38="","",'公眾假期'!B38)</f>
        <v/>
      </c>
      <c r="C38" s="22" t="n"/>
      <c r="D38" s="22" t="n"/>
      <c r="E38" s="22" t="n"/>
      <c r="F38" s="22" t="n"/>
      <c r="G38" s="22" t="n"/>
      <c r="H38" s="22" t="n"/>
    </row>
    <row r="39">
      <c r="A39" s="46">
        <f>IF('公眾假期'!A39="","",'公眾假期'!A39)</f>
        <v/>
      </c>
      <c r="B39" s="47">
        <f>IF('公眾假期'!B39="","",'公眾假期'!B39)</f>
        <v/>
      </c>
      <c r="C39" s="22" t="n"/>
      <c r="D39" s="22" t="n"/>
      <c r="E39" s="22" t="n"/>
      <c r="F39" s="22" t="n"/>
      <c r="G39" s="22" t="n"/>
      <c r="H39" s="22" t="n"/>
    </row>
    <row r="40">
      <c r="A40" s="46">
        <f>IF('公眾假期'!A40="","",'公眾假期'!A40)</f>
        <v/>
      </c>
      <c r="B40" s="47">
        <f>IF('公眾假期'!B40="","",'公眾假期'!B40)</f>
        <v/>
      </c>
      <c r="C40" s="22" t="n"/>
      <c r="D40" s="22" t="n"/>
      <c r="E40" s="22" t="n"/>
      <c r="F40" s="22" t="n"/>
      <c r="G40" s="22" t="n"/>
      <c r="H40" s="22" t="n"/>
    </row>
    <row r="41">
      <c r="A41" s="46">
        <f>IF('公眾假期'!A41="","",'公眾假期'!A41)</f>
        <v/>
      </c>
      <c r="B41" s="47">
        <f>IF('公眾假期'!B41="","",'公眾假期'!B41)</f>
        <v/>
      </c>
      <c r="C41" s="22" t="n"/>
      <c r="D41" s="22" t="n"/>
      <c r="E41" s="22" t="n"/>
      <c r="F41" s="22" t="n"/>
      <c r="G41" s="22" t="n"/>
      <c r="H41" s="22" t="n"/>
    </row>
    <row r="42">
      <c r="A42" s="46">
        <f>IF('公眾假期'!A42="","",'公眾假期'!A42)</f>
        <v/>
      </c>
      <c r="B42" s="47">
        <f>IF('公眾假期'!B42="","",'公眾假期'!B42)</f>
        <v/>
      </c>
      <c r="C42" s="22" t="n"/>
      <c r="D42" s="22" t="n"/>
      <c r="E42" s="22" t="n"/>
      <c r="F42" s="22" t="n"/>
      <c r="G42" s="22" t="n"/>
      <c r="H42" s="22" t="n"/>
    </row>
    <row r="43">
      <c r="A43" s="46">
        <f>IF('公眾假期'!A43="","",'公眾假期'!A43)</f>
        <v/>
      </c>
      <c r="B43" s="47">
        <f>IF('公眾假期'!B43="","",'公眾假期'!B43)</f>
        <v/>
      </c>
      <c r="C43" s="22" t="n"/>
      <c r="D43" s="22" t="n"/>
      <c r="E43" s="22" t="n"/>
      <c r="F43" s="22" t="n"/>
      <c r="G43" s="22" t="n"/>
      <c r="H43" s="22" t="n"/>
    </row>
    <row r="44">
      <c r="A44" s="46">
        <f>IF('公眾假期'!A44="","",'公眾假期'!A44)</f>
        <v/>
      </c>
      <c r="B44" s="47">
        <f>IF('公眾假期'!B44="","",'公眾假期'!B44)</f>
        <v/>
      </c>
      <c r="C44" s="22" t="n"/>
      <c r="D44" s="22" t="n"/>
      <c r="E44" s="22" t="n"/>
      <c r="F44" s="22" t="n"/>
      <c r="G44" s="22" t="n"/>
      <c r="H44" s="22" t="n"/>
    </row>
    <row r="45">
      <c r="A45" s="46">
        <f>IF('公眾假期'!A45="","",'公眾假期'!A45)</f>
        <v/>
      </c>
      <c r="B45" s="47">
        <f>IF('公眾假期'!B45="","",'公眾假期'!B45)</f>
        <v/>
      </c>
      <c r="C45" s="22" t="n"/>
      <c r="D45" s="22" t="n"/>
      <c r="E45" s="22" t="n"/>
      <c r="F45" s="22" t="n"/>
      <c r="G45" s="22" t="n"/>
      <c r="H45" s="22" t="n"/>
    </row>
    <row r="46">
      <c r="A46" s="46">
        <f>IF('公眾假期'!A46="","",'公眾假期'!A46)</f>
        <v/>
      </c>
      <c r="B46" s="47">
        <f>IF('公眾假期'!B46="","",'公眾假期'!B46)</f>
        <v/>
      </c>
      <c r="C46" s="22" t="n"/>
      <c r="D46" s="22" t="n"/>
      <c r="E46" s="22" t="n"/>
      <c r="F46" s="22" t="n"/>
      <c r="G46" s="22" t="n"/>
      <c r="H46" s="22" t="n"/>
    </row>
    <row r="47">
      <c r="A47" s="46">
        <f>IF('公眾假期'!A47="","",'公眾假期'!A47)</f>
        <v/>
      </c>
      <c r="B47" s="47">
        <f>IF('公眾假期'!B47="","",'公眾假期'!B47)</f>
        <v/>
      </c>
      <c r="C47" s="22" t="n"/>
      <c r="D47" s="22" t="n"/>
      <c r="E47" s="22" t="n"/>
      <c r="F47" s="22" t="n"/>
      <c r="G47" s="22" t="n"/>
      <c r="H47" s="22" t="n"/>
    </row>
    <row r="48">
      <c r="A48" s="46">
        <f>IF('公眾假期'!A48="","",'公眾假期'!A48)</f>
        <v/>
      </c>
      <c r="B48" s="47">
        <f>IF('公眾假期'!B48="","",'公眾假期'!B48)</f>
        <v/>
      </c>
      <c r="C48" s="22" t="n"/>
      <c r="D48" s="22" t="n"/>
      <c r="E48" s="22" t="n"/>
      <c r="F48" s="22" t="n"/>
      <c r="G48" s="22" t="n"/>
      <c r="H48" s="22" t="n"/>
    </row>
    <row r="49">
      <c r="A49" s="46">
        <f>IF('公眾假期'!A49="","",'公眾假期'!A49)</f>
        <v/>
      </c>
      <c r="B49" s="47">
        <f>IF('公眾假期'!B49="","",'公眾假期'!B49)</f>
        <v/>
      </c>
      <c r="C49" s="22" t="n"/>
      <c r="D49" s="22" t="n"/>
      <c r="E49" s="22" t="n"/>
      <c r="F49" s="22" t="n"/>
      <c r="G49" s="22" t="n"/>
      <c r="H49" s="22" t="n"/>
    </row>
    <row r="50">
      <c r="A50" s="46">
        <f>IF('公眾假期'!A50="","",'公眾假期'!A50)</f>
        <v/>
      </c>
      <c r="B50" s="47">
        <f>IF('公眾假期'!B50="","",'公眾假期'!B50)</f>
        <v/>
      </c>
      <c r="C50" s="22" t="n"/>
      <c r="D50" s="22" t="n"/>
      <c r="E50" s="22" t="n"/>
      <c r="F50" s="22" t="n"/>
      <c r="G50" s="22" t="n"/>
      <c r="H50" s="22" t="n"/>
    </row>
    <row r="51">
      <c r="A51" s="46">
        <f>IF('公眾假期'!A51="","",'公眾假期'!A51)</f>
        <v/>
      </c>
      <c r="B51" s="47">
        <f>IF('公眾假期'!B51="","",'公眾假期'!B51)</f>
        <v/>
      </c>
      <c r="C51" s="22" t="n"/>
      <c r="D51" s="22" t="n"/>
      <c r="E51" s="22" t="n"/>
      <c r="F51" s="22" t="n"/>
      <c r="G51" s="22" t="n"/>
      <c r="H51" s="22" t="n"/>
    </row>
    <row r="52">
      <c r="A52" s="46">
        <f>IF('公眾假期'!A52="","",'公眾假期'!A52)</f>
        <v/>
      </c>
      <c r="B52" s="47">
        <f>IF('公眾假期'!B52="","",'公眾假期'!B52)</f>
        <v/>
      </c>
      <c r="C52" s="22" t="n"/>
      <c r="D52" s="22" t="n"/>
      <c r="E52" s="22" t="n"/>
      <c r="F52" s="22" t="n"/>
      <c r="G52" s="22" t="n"/>
      <c r="H52" s="22" t="n"/>
    </row>
    <row r="53">
      <c r="A53" s="46">
        <f>IF('公眾假期'!A53="","",'公眾假期'!A53)</f>
        <v/>
      </c>
      <c r="B53" s="47">
        <f>IF('公眾假期'!B53="","",'公眾假期'!B53)</f>
        <v/>
      </c>
      <c r="C53" s="22" t="n"/>
      <c r="D53" s="22" t="n"/>
      <c r="E53" s="22" t="n"/>
      <c r="F53" s="22" t="n"/>
      <c r="G53" s="22" t="n"/>
      <c r="H53" s="22" t="n"/>
    </row>
    <row r="54">
      <c r="A54" s="46">
        <f>IF('公眾假期'!A54="","",'公眾假期'!A54)</f>
        <v/>
      </c>
      <c r="B54" s="47">
        <f>IF('公眾假期'!B54="","",'公眾假期'!B54)</f>
        <v/>
      </c>
      <c r="C54" s="22" t="n"/>
      <c r="D54" s="22" t="n"/>
      <c r="E54" s="22" t="n"/>
      <c r="F54" s="22" t="n"/>
      <c r="G54" s="22" t="n"/>
      <c r="H54" s="22" t="n"/>
    </row>
    <row r="55">
      <c r="A55" s="46">
        <f>IF('公眾假期'!A55="","",'公眾假期'!A55)</f>
        <v/>
      </c>
      <c r="B55" s="47">
        <f>IF('公眾假期'!B55="","",'公眾假期'!B55)</f>
        <v/>
      </c>
      <c r="C55" s="22" t="n"/>
      <c r="D55" s="22" t="n"/>
      <c r="E55" s="22" t="n"/>
      <c r="F55" s="22" t="n"/>
      <c r="G55" s="22" t="n"/>
      <c r="H55" s="22" t="n"/>
    </row>
    <row r="56">
      <c r="A56" s="46">
        <f>IF('公眾假期'!A56="","",'公眾假期'!A56)</f>
        <v/>
      </c>
      <c r="B56" s="47">
        <f>IF('公眾假期'!B56="","",'公眾假期'!B56)</f>
        <v/>
      </c>
      <c r="C56" s="22" t="n"/>
      <c r="D56" s="22" t="n"/>
      <c r="E56" s="22" t="n"/>
      <c r="F56" s="22" t="n"/>
      <c r="G56" s="22" t="n"/>
      <c r="H56" s="22" t="n"/>
    </row>
    <row r="57">
      <c r="A57" s="46">
        <f>IF('公眾假期'!A57="","",'公眾假期'!A57)</f>
        <v/>
      </c>
      <c r="B57" s="47">
        <f>IF('公眾假期'!B57="","",'公眾假期'!B57)</f>
        <v/>
      </c>
      <c r="C57" s="22" t="n"/>
      <c r="D57" s="22" t="n"/>
      <c r="E57" s="22" t="n"/>
      <c r="F57" s="22" t="n"/>
      <c r="G57" s="22" t="n"/>
      <c r="H57" s="22" t="n"/>
    </row>
    <row r="58">
      <c r="A58" s="46">
        <f>IF('公眾假期'!A58="","",'公眾假期'!A58)</f>
        <v/>
      </c>
      <c r="B58" s="47">
        <f>IF('公眾假期'!B58="","",'公眾假期'!B58)</f>
        <v/>
      </c>
      <c r="C58" s="22" t="n"/>
      <c r="D58" s="22" t="n"/>
      <c r="E58" s="22" t="n"/>
      <c r="F58" s="22" t="n"/>
      <c r="G58" s="22" t="n"/>
      <c r="H58" s="22" t="n"/>
    </row>
    <row r="59">
      <c r="A59" s="46">
        <f>IF('公眾假期'!A59="","",'公眾假期'!A59)</f>
        <v/>
      </c>
      <c r="B59" s="47">
        <f>IF('公眾假期'!B59="","",'公眾假期'!B59)</f>
        <v/>
      </c>
      <c r="C59" s="22" t="n"/>
      <c r="D59" s="22" t="n"/>
      <c r="E59" s="22" t="n"/>
      <c r="F59" s="22" t="n"/>
      <c r="G59" s="22" t="n"/>
      <c r="H59" s="22" t="n"/>
    </row>
    <row r="60">
      <c r="A60" s="46">
        <f>IF('公眾假期'!A60="","",'公眾假期'!A60)</f>
        <v/>
      </c>
      <c r="B60" s="47">
        <f>IF('公眾假期'!B60="","",'公眾假期'!B60)</f>
        <v/>
      </c>
      <c r="C60" s="22" t="n"/>
      <c r="D60" s="22" t="n"/>
      <c r="E60" s="22" t="n"/>
      <c r="F60" s="22" t="n"/>
      <c r="G60" s="22" t="n"/>
      <c r="H60" s="22" t="n"/>
    </row>
    <row r="61">
      <c r="A61" s="46">
        <f>IF('公眾假期'!A61="","",'公眾假期'!A61)</f>
        <v/>
      </c>
      <c r="B61" s="47">
        <f>IF('公眾假期'!B61="","",'公眾假期'!B61)</f>
        <v/>
      </c>
      <c r="C61" s="22" t="n"/>
      <c r="D61" s="22" t="n"/>
      <c r="E61" s="22" t="n"/>
      <c r="F61" s="22" t="n"/>
      <c r="G61" s="22" t="n"/>
      <c r="H61" s="22" t="n"/>
    </row>
    <row r="62">
      <c r="A62" s="46">
        <f>IF('公眾假期'!A62="","",'公眾假期'!A62)</f>
        <v/>
      </c>
      <c r="B62" s="47">
        <f>IF('公眾假期'!B62="","",'公眾假期'!B62)</f>
        <v/>
      </c>
      <c r="C62" s="22" t="n"/>
      <c r="D62" s="22" t="n"/>
      <c r="E62" s="22" t="n"/>
      <c r="F62" s="22" t="n"/>
      <c r="G62" s="22" t="n"/>
      <c r="H62" s="22" t="n"/>
    </row>
    <row r="63">
      <c r="A63" s="46">
        <f>IF('公眾假期'!A63="","",'公眾假期'!A63)</f>
        <v/>
      </c>
      <c r="B63" s="47">
        <f>IF('公眾假期'!B63="","",'公眾假期'!B63)</f>
        <v/>
      </c>
      <c r="C63" s="22" t="n"/>
      <c r="D63" s="22" t="n"/>
      <c r="E63" s="22" t="n"/>
      <c r="F63" s="22" t="n"/>
      <c r="G63" s="22" t="n"/>
      <c r="H63" s="22" t="n"/>
    </row>
    <row r="64">
      <c r="A64" s="46">
        <f>IF('公眾假期'!A64="","",'公眾假期'!A64)</f>
        <v/>
      </c>
      <c r="B64" s="47">
        <f>IF('公眾假期'!B64="","",'公眾假期'!B64)</f>
        <v/>
      </c>
      <c r="C64" s="22" t="n"/>
      <c r="D64" s="22" t="n"/>
      <c r="E64" s="22" t="n"/>
      <c r="F64" s="22" t="n"/>
      <c r="G64" s="22" t="n"/>
      <c r="H64" s="22" t="n"/>
    </row>
    <row r="65">
      <c r="A65" s="46">
        <f>IF('公眾假期'!A65="","",'公眾假期'!A65)</f>
        <v/>
      </c>
      <c r="B65" s="47">
        <f>IF('公眾假期'!B65="","",'公眾假期'!B65)</f>
        <v/>
      </c>
      <c r="C65" s="22" t="n"/>
      <c r="D65" s="22" t="n"/>
      <c r="E65" s="22" t="n"/>
      <c r="F65" s="22" t="n"/>
      <c r="G65" s="22" t="n"/>
      <c r="H65" s="22" t="n"/>
    </row>
    <row r="66">
      <c r="A66" s="46">
        <f>IF('公眾假期'!A66="","",'公眾假期'!A66)</f>
        <v/>
      </c>
      <c r="B66" s="47">
        <f>IF('公眾假期'!B66="","",'公眾假期'!B66)</f>
        <v/>
      </c>
      <c r="C66" s="22" t="n"/>
      <c r="D66" s="22" t="n"/>
      <c r="E66" s="22" t="n"/>
      <c r="F66" s="22" t="n"/>
      <c r="G66" s="22" t="n"/>
      <c r="H66" s="22" t="n"/>
    </row>
    <row r="67">
      <c r="A67" s="46">
        <f>IF('公眾假期'!A67="","",'公眾假期'!A67)</f>
        <v/>
      </c>
      <c r="B67" s="47">
        <f>IF('公眾假期'!B67="","",'公眾假期'!B67)</f>
        <v/>
      </c>
      <c r="C67" s="22" t="n"/>
      <c r="D67" s="22" t="n"/>
      <c r="E67" s="22" t="n"/>
      <c r="F67" s="22" t="n"/>
      <c r="G67" s="22" t="n"/>
      <c r="H67" s="22" t="n"/>
    </row>
    <row r="68">
      <c r="A68" s="46">
        <f>IF('公眾假期'!A68="","",'公眾假期'!A68)</f>
        <v/>
      </c>
      <c r="B68" s="47">
        <f>IF('公眾假期'!B68="","",'公眾假期'!B68)</f>
        <v/>
      </c>
      <c r="C68" s="22" t="n"/>
      <c r="D68" s="22" t="n"/>
      <c r="E68" s="22" t="n"/>
      <c r="F68" s="22" t="n"/>
      <c r="G68" s="22" t="n"/>
      <c r="H68" s="22" t="n"/>
    </row>
    <row r="69">
      <c r="A69" s="46">
        <f>IF('公眾假期'!A69="","",'公眾假期'!A69)</f>
        <v/>
      </c>
      <c r="B69" s="47">
        <f>IF('公眾假期'!B69="","",'公眾假期'!B69)</f>
        <v/>
      </c>
      <c r="C69" s="22" t="n"/>
      <c r="D69" s="22" t="n"/>
      <c r="E69" s="22" t="n"/>
      <c r="F69" s="22" t="n"/>
      <c r="G69" s="22" t="n"/>
      <c r="H69" s="22" t="n"/>
    </row>
    <row r="70">
      <c r="A70" s="46">
        <f>IF('公眾假期'!A70="","",'公眾假期'!A70)</f>
        <v/>
      </c>
      <c r="B70" s="47">
        <f>IF('公眾假期'!B70="","",'公眾假期'!B70)</f>
        <v/>
      </c>
      <c r="C70" s="22" t="n"/>
      <c r="D70" s="22" t="n"/>
      <c r="E70" s="22" t="n"/>
      <c r="F70" s="22" t="n"/>
      <c r="G70" s="22" t="n"/>
      <c r="H70" s="22" t="n"/>
    </row>
    <row r="71">
      <c r="A71" s="46">
        <f>IF('公眾假期'!A71="","",'公眾假期'!A71)</f>
        <v/>
      </c>
      <c r="B71" s="47">
        <f>IF('公眾假期'!B71="","",'公眾假期'!B71)</f>
        <v/>
      </c>
      <c r="C71" s="22" t="n"/>
      <c r="D71" s="22" t="n"/>
      <c r="E71" s="22" t="n"/>
      <c r="F71" s="22" t="n"/>
      <c r="G71" s="22" t="n"/>
      <c r="H71" s="22" t="n"/>
    </row>
    <row r="72">
      <c r="A72" s="46">
        <f>IF('公眾假期'!A72="","",'公眾假期'!A72)</f>
        <v/>
      </c>
      <c r="B72" s="47">
        <f>IF('公眾假期'!B72="","",'公眾假期'!B72)</f>
        <v/>
      </c>
      <c r="C72" s="22" t="n"/>
      <c r="D72" s="22" t="n"/>
      <c r="E72" s="22" t="n"/>
      <c r="F72" s="22" t="n"/>
      <c r="G72" s="22" t="n"/>
      <c r="H72" s="22" t="n"/>
    </row>
    <row r="73">
      <c r="A73" s="46">
        <f>IF('公眾假期'!A73="","",'公眾假期'!A73)</f>
        <v/>
      </c>
      <c r="B73" s="47">
        <f>IF('公眾假期'!B73="","",'公眾假期'!B73)</f>
        <v/>
      </c>
      <c r="C73" s="22" t="n"/>
      <c r="D73" s="22" t="n"/>
      <c r="E73" s="22" t="n"/>
      <c r="F73" s="22" t="n"/>
      <c r="G73" s="22" t="n"/>
      <c r="H73" s="22" t="n"/>
    </row>
    <row r="74">
      <c r="A74" s="46">
        <f>IF('公眾假期'!A74="","",'公眾假期'!A74)</f>
        <v/>
      </c>
      <c r="B74" s="47">
        <f>IF('公眾假期'!B74="","",'公眾假期'!B74)</f>
        <v/>
      </c>
      <c r="C74" s="22" t="n"/>
      <c r="D74" s="22" t="n"/>
      <c r="E74" s="22" t="n"/>
      <c r="F74" s="22" t="n"/>
      <c r="G74" s="22" t="n"/>
      <c r="H74" s="22" t="n"/>
    </row>
    <row r="75">
      <c r="A75" s="46">
        <f>IF('公眾假期'!A75="","",'公眾假期'!A75)</f>
        <v/>
      </c>
      <c r="B75" s="47">
        <f>IF('公眾假期'!B75="","",'公眾假期'!B75)</f>
        <v/>
      </c>
      <c r="C75" s="22" t="n"/>
      <c r="D75" s="22" t="n"/>
      <c r="E75" s="22" t="n"/>
      <c r="F75" s="22" t="n"/>
      <c r="G75" s="22" t="n"/>
      <c r="H75" s="22" t="n"/>
    </row>
    <row r="76">
      <c r="A76" s="46">
        <f>IF('公眾假期'!A76="","",'公眾假期'!A76)</f>
        <v/>
      </c>
      <c r="B76" s="47">
        <f>IF('公眾假期'!B76="","",'公眾假期'!B76)</f>
        <v/>
      </c>
      <c r="C76" s="22" t="n"/>
      <c r="D76" s="22" t="n"/>
      <c r="E76" s="22" t="n"/>
      <c r="F76" s="22" t="n"/>
      <c r="G76" s="22" t="n"/>
      <c r="H76" s="22" t="n"/>
    </row>
    <row r="77">
      <c r="A77" s="46">
        <f>IF('公眾假期'!A77="","",'公眾假期'!A77)</f>
        <v/>
      </c>
      <c r="B77" s="47">
        <f>IF('公眾假期'!B77="","",'公眾假期'!B77)</f>
        <v/>
      </c>
      <c r="C77" s="22" t="n"/>
      <c r="D77" s="22" t="n"/>
      <c r="E77" s="22" t="n"/>
      <c r="F77" s="22" t="n"/>
      <c r="G77" s="22" t="n"/>
      <c r="H77" s="22" t="n"/>
    </row>
    <row r="78">
      <c r="A78" s="46">
        <f>IF('公眾假期'!A78="","",'公眾假期'!A78)</f>
        <v/>
      </c>
      <c r="B78" s="47">
        <f>IF('公眾假期'!B78="","",'公眾假期'!B78)</f>
        <v/>
      </c>
      <c r="C78" s="22" t="n"/>
      <c r="D78" s="22" t="n"/>
      <c r="E78" s="22" t="n"/>
      <c r="F78" s="22" t="n"/>
      <c r="G78" s="22" t="n"/>
      <c r="H78" s="22" t="n"/>
    </row>
    <row r="79">
      <c r="A79" s="46">
        <f>IF('公眾假期'!A79="","",'公眾假期'!A79)</f>
        <v/>
      </c>
      <c r="B79" s="47">
        <f>IF('公眾假期'!B79="","",'公眾假期'!B79)</f>
        <v/>
      </c>
      <c r="C79" s="22" t="n"/>
      <c r="D79" s="22" t="n"/>
      <c r="E79" s="22" t="n"/>
      <c r="F79" s="22" t="n"/>
      <c r="G79" s="22" t="n"/>
      <c r="H79" s="22" t="n"/>
    </row>
    <row r="80">
      <c r="A80" s="46">
        <f>IF('公眾假期'!A80="","",'公眾假期'!A80)</f>
        <v/>
      </c>
      <c r="B80" s="47">
        <f>IF('公眾假期'!B80="","",'公眾假期'!B80)</f>
        <v/>
      </c>
      <c r="C80" s="22" t="n"/>
      <c r="D80" s="22" t="n"/>
      <c r="E80" s="22" t="n"/>
      <c r="F80" s="22" t="n"/>
      <c r="G80" s="22" t="n"/>
      <c r="H80" s="22" t="n"/>
    </row>
    <row r="81">
      <c r="A81" s="46">
        <f>IF('公眾假期'!A81="","",'公眾假期'!A81)</f>
        <v/>
      </c>
      <c r="B81" s="47">
        <f>IF('公眾假期'!B81="","",'公眾假期'!B81)</f>
        <v/>
      </c>
      <c r="C81" s="22" t="n"/>
      <c r="D81" s="22" t="n"/>
      <c r="E81" s="22" t="n"/>
      <c r="F81" s="22" t="n"/>
      <c r="G81" s="22" t="n"/>
      <c r="H81" s="22" t="n"/>
    </row>
    <row r="82">
      <c r="A82" s="46">
        <f>IF('公眾假期'!A82="","",'公眾假期'!A82)</f>
        <v/>
      </c>
      <c r="B82" s="47">
        <f>IF('公眾假期'!B82="","",'公眾假期'!B82)</f>
        <v/>
      </c>
      <c r="C82" s="22" t="n"/>
      <c r="D82" s="22" t="n"/>
      <c r="E82" s="22" t="n"/>
      <c r="F82" s="22" t="n"/>
      <c r="G82" s="22" t="n"/>
      <c r="H82" s="22" t="n"/>
    </row>
    <row r="83">
      <c r="A83" s="46">
        <f>IF('公眾假期'!A83="","",'公眾假期'!A83)</f>
        <v/>
      </c>
      <c r="B83" s="47">
        <f>IF('公眾假期'!B83="","",'公眾假期'!B83)</f>
        <v/>
      </c>
      <c r="C83" s="22" t="n"/>
      <c r="D83" s="22" t="n"/>
      <c r="E83" s="22" t="n"/>
      <c r="F83" s="22" t="n"/>
      <c r="G83" s="22" t="n"/>
      <c r="H83" s="22" t="n"/>
    </row>
    <row r="84">
      <c r="A84" s="46">
        <f>IF('公眾假期'!A84="","",'公眾假期'!A84)</f>
        <v/>
      </c>
      <c r="B84" s="47">
        <f>IF('公眾假期'!B84="","",'公眾假期'!B84)</f>
        <v/>
      </c>
      <c r="C84" s="22" t="n"/>
      <c r="D84" s="22" t="n"/>
      <c r="E84" s="22" t="n"/>
      <c r="F84" s="22" t="n"/>
      <c r="G84" s="22" t="n"/>
      <c r="H84" s="22" t="n"/>
    </row>
    <row r="87">
      <c r="A87" s="48" t="inlineStr">
        <is>
          <t>補假統計區（自動計算）</t>
        </is>
      </c>
    </row>
    <row r="88">
      <c r="A88" s="18" t="inlineStr">
        <is>
          <t>員工姓名</t>
        </is>
      </c>
      <c r="B88" s="18" t="inlineStr">
        <is>
          <t>公眾假期上班次數（全部）</t>
        </is>
      </c>
      <c r="C88" s="18" t="inlineStr">
        <is>
          <t>本年上班次數</t>
        </is>
      </c>
      <c r="D88" s="18" t="inlineStr">
        <is>
          <t>說明</t>
        </is>
      </c>
    </row>
    <row r="89">
      <c r="A89" s="49">
        <f>'設定'!B8</f>
        <v/>
      </c>
      <c r="B89" s="23">
        <f>IF(A89="","",COUNTIF($C$5:$H$84,A89))</f>
        <v/>
      </c>
      <c r="C89" s="23">
        <f>IF(A89="","",SUMPRODUCT(($A$5:$A$84&lt;&gt;"")*(YEAR($A$5:$A$84)='設定'!$B$3)*(($C$5:$C$84=A89)+($D$5:$D$84=A89)+($E$5:$E$84=A89)+($F$5:$F$84=A89)+($G$5:$G$84=A89)+($H$5:$H$84=A89))))</f>
        <v/>
      </c>
      <c r="D89" s="34" t="inlineStr">
        <is>
          <t>排班表「本年新增補假」引用本欄；累積＝期初＋本年</t>
        </is>
      </c>
    </row>
    <row r="90">
      <c r="A90" s="49">
        <f>'設定'!B9</f>
        <v/>
      </c>
      <c r="B90" s="23">
        <f>IF(A90="","",COUNTIF($C$5:$H$84,A90))</f>
        <v/>
      </c>
      <c r="C90" s="23">
        <f>IF(A90="","",SUMPRODUCT(($A$5:$A$84&lt;&gt;"")*(YEAR($A$5:$A$84)='設定'!$B$3)*(($C$5:$C$84=A90)+($D$5:$D$84=A90)+($E$5:$E$84=A90)+($F$5:$F$84=A90)+($G$5:$G$84=A90)+($H$5:$H$84=A90))))</f>
        <v/>
      </c>
      <c r="D90" s="34" t="inlineStr">
        <is>
          <t>排班表「本年新增補假」引用本欄；累積＝期初＋本年</t>
        </is>
      </c>
    </row>
    <row r="91">
      <c r="A91" s="49">
        <f>'設定'!B10</f>
        <v/>
      </c>
      <c r="B91" s="23">
        <f>IF(A91="","",COUNTIF($C$5:$H$84,A91))</f>
        <v/>
      </c>
      <c r="C91" s="23">
        <f>IF(A91="","",SUMPRODUCT(($A$5:$A$84&lt;&gt;"")*(YEAR($A$5:$A$84)='設定'!$B$3)*(($C$5:$C$84=A91)+($D$5:$D$84=A91)+($E$5:$E$84=A91)+($F$5:$F$84=A91)+($G$5:$G$84=A91)+($H$5:$H$84=A91))))</f>
        <v/>
      </c>
      <c r="D91" s="34" t="inlineStr">
        <is>
          <t>排班表「本年新增補假」引用本欄；累積＝期初＋本年</t>
        </is>
      </c>
    </row>
    <row r="92">
      <c r="A92" s="49">
        <f>'設定'!B11</f>
        <v/>
      </c>
      <c r="B92" s="23">
        <f>IF(A92="","",COUNTIF($C$5:$H$84,A92))</f>
        <v/>
      </c>
      <c r="C92" s="23">
        <f>IF(A92="","",SUMPRODUCT(($A$5:$A$84&lt;&gt;"")*(YEAR($A$5:$A$84)='設定'!$B$3)*(($C$5:$C$84=A92)+($D$5:$D$84=A92)+($E$5:$E$84=A92)+($F$5:$F$84=A92)+($G$5:$G$84=A92)+($H$5:$H$84=A92))))</f>
        <v/>
      </c>
      <c r="D92" s="34" t="inlineStr">
        <is>
          <t>排班表「本年新增補假」引用本欄；累積＝期初＋本年</t>
        </is>
      </c>
    </row>
    <row r="93">
      <c r="A93" s="49">
        <f>'設定'!B12</f>
        <v/>
      </c>
      <c r="B93" s="23">
        <f>IF(A93="","",COUNTIF($C$5:$H$84,A93))</f>
        <v/>
      </c>
      <c r="C93" s="23">
        <f>IF(A93="","",SUMPRODUCT(($A$5:$A$84&lt;&gt;"")*(YEAR($A$5:$A$84)='設定'!$B$3)*(($C$5:$C$84=A93)+($D$5:$D$84=A93)+($E$5:$E$84=A93)+($F$5:$F$84=A93)+($G$5:$G$84=A93)+($H$5:$H$84=A93))))</f>
        <v/>
      </c>
      <c r="D93" s="34" t="inlineStr">
        <is>
          <t>排班表「本年新增補假」引用本欄；累積＝期初＋本年</t>
        </is>
      </c>
    </row>
    <row r="94">
      <c r="A94" s="49">
        <f>'設定'!B13</f>
        <v/>
      </c>
      <c r="B94" s="23">
        <f>IF(A94="","",COUNTIF($C$5:$H$84,A94))</f>
        <v/>
      </c>
      <c r="C94" s="23">
        <f>IF(A94="","",SUMPRODUCT(($A$5:$A$84&lt;&gt;"")*(YEAR($A$5:$A$84)='設定'!$B$3)*(($C$5:$C$84=A94)+($D$5:$D$84=A94)+($E$5:$E$84=A94)+($F$5:$F$84=A94)+($G$5:$G$84=A94)+($H$5:$H$84=A94))))</f>
        <v/>
      </c>
      <c r="D94" s="34" t="inlineStr">
        <is>
          <t>排班表「本年新增補假」引用本欄；累積＝期初＋本年</t>
        </is>
      </c>
    </row>
  </sheetData>
  <mergeCells count="3">
    <mergeCell ref="A87:D87"/>
    <mergeCell ref="A2:H2"/>
    <mergeCell ref="A1:H1"/>
  </mergeCells>
  <dataValidations count="1">
    <dataValidation sqref="C5:H84" showDropDown="0" showInputMessage="0" showErrorMessage="0" allowBlank="1" type="list">
      <formula1>=EmpNames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</cols>
  <sheetData>
    <row r="1">
      <c r="A1" s="1" t="inlineStr">
        <is>
          <t>公眾假期資料表</t>
        </is>
      </c>
    </row>
    <row r="2">
      <c r="A2" s="30" t="inlineStr">
        <is>
          <t>每年年頭在此表底部追加新一年假期即可。請勿刪除表頭。</t>
        </is>
      </c>
    </row>
    <row r="4">
      <c r="A4" s="18" t="inlineStr">
        <is>
          <t>日期</t>
        </is>
      </c>
      <c r="B4" s="18" t="inlineStr">
        <is>
          <t>假期名稱</t>
        </is>
      </c>
      <c r="C4" s="18" t="inlineStr">
        <is>
          <t>年份（自動）</t>
        </is>
      </c>
    </row>
    <row r="5">
      <c r="A5" s="50" t="n">
        <v>46023</v>
      </c>
      <c r="B5" s="51" t="inlineStr">
        <is>
          <t>元旦</t>
        </is>
      </c>
      <c r="C5" s="51">
        <f>IF(A5="","",YEAR(A5))</f>
        <v/>
      </c>
    </row>
    <row r="6">
      <c r="A6" s="50" t="n">
        <v>46070</v>
      </c>
      <c r="B6" s="51" t="inlineStr">
        <is>
          <t>農曆年初一</t>
        </is>
      </c>
      <c r="C6" s="51">
        <f>IF(A6="","",YEAR(A6))</f>
        <v/>
      </c>
    </row>
    <row r="7">
      <c r="A7" s="50" t="n">
        <v>46071</v>
      </c>
      <c r="B7" s="51" t="inlineStr">
        <is>
          <t>農曆年初二</t>
        </is>
      </c>
      <c r="C7" s="51">
        <f>IF(A7="","",YEAR(A7))</f>
        <v/>
      </c>
    </row>
    <row r="8">
      <c r="A8" s="50" t="n">
        <v>46072</v>
      </c>
      <c r="B8" s="51" t="inlineStr">
        <is>
          <t>農曆年初三</t>
        </is>
      </c>
      <c r="C8" s="51">
        <f>IF(A8="","",YEAR(A8))</f>
        <v/>
      </c>
    </row>
    <row r="9">
      <c r="A9" s="50" t="n">
        <v>46115</v>
      </c>
      <c r="B9" s="51" t="inlineStr">
        <is>
          <t>耶穌受難節前一日</t>
        </is>
      </c>
      <c r="C9" s="51">
        <f>IF(A9="","",YEAR(A9))</f>
        <v/>
      </c>
    </row>
    <row r="10">
      <c r="A10" s="50" t="n">
        <v>46116</v>
      </c>
      <c r="B10" s="51" t="inlineStr">
        <is>
          <t>耶穌受難節</t>
        </is>
      </c>
      <c r="C10" s="51">
        <f>IF(A10="","",YEAR(A10))</f>
        <v/>
      </c>
    </row>
    <row r="11">
      <c r="A11" s="50" t="n">
        <v>46118</v>
      </c>
      <c r="B11" s="51" t="inlineStr">
        <is>
          <t>復活節星期一</t>
        </is>
      </c>
      <c r="C11" s="51">
        <f>IF(A11="","",YEAR(A11))</f>
        <v/>
      </c>
    </row>
    <row r="12">
      <c r="A12" s="50" t="n">
        <v>46143</v>
      </c>
      <c r="B12" s="51" t="inlineStr">
        <is>
          <t>勞動節</t>
        </is>
      </c>
      <c r="C12" s="51">
        <f>IF(A12="","",YEAR(A12))</f>
        <v/>
      </c>
    </row>
    <row r="13">
      <c r="A13" s="50" t="n">
        <v>46167</v>
      </c>
      <c r="B13" s="51" t="inlineStr">
        <is>
          <t>佛誕</t>
        </is>
      </c>
      <c r="C13" s="51">
        <f>IF(A13="","",YEAR(A13))</f>
        <v/>
      </c>
    </row>
    <row r="14">
      <c r="A14" s="50" t="n">
        <v>46192</v>
      </c>
      <c r="B14" s="51" t="inlineStr">
        <is>
          <t>端午節</t>
        </is>
      </c>
      <c r="C14" s="51">
        <f>IF(A14="","",YEAR(A14))</f>
        <v/>
      </c>
    </row>
    <row r="15">
      <c r="A15" s="50" t="n">
        <v>46204</v>
      </c>
      <c r="B15" s="51" t="inlineStr">
        <is>
          <t>香港特別行政區成立紀念日</t>
        </is>
      </c>
      <c r="C15" s="51">
        <f>IF(A15="","",YEAR(A15))</f>
        <v/>
      </c>
    </row>
    <row r="16">
      <c r="A16" s="50" t="n">
        <v>46291</v>
      </c>
      <c r="B16" s="51" t="inlineStr">
        <is>
          <t>中秋節翌日</t>
        </is>
      </c>
      <c r="C16" s="51">
        <f>IF(A16="","",YEAR(A16))</f>
        <v/>
      </c>
    </row>
    <row r="17">
      <c r="A17" s="50" t="n">
        <v>46296</v>
      </c>
      <c r="B17" s="51" t="inlineStr">
        <is>
          <t>國慶日</t>
        </is>
      </c>
      <c r="C17" s="51">
        <f>IF(A17="","",YEAR(A17))</f>
        <v/>
      </c>
    </row>
    <row r="18">
      <c r="A18" s="50" t="n">
        <v>46314</v>
      </c>
      <c r="B18" s="51" t="inlineStr">
        <is>
          <t>重陽節</t>
        </is>
      </c>
      <c r="C18" s="51">
        <f>IF(A18="","",YEAR(A18))</f>
        <v/>
      </c>
    </row>
    <row r="19">
      <c r="A19" s="50" t="n">
        <v>46381</v>
      </c>
      <c r="B19" s="51" t="inlineStr">
        <is>
          <t>聖誕節</t>
        </is>
      </c>
      <c r="C19" s="51">
        <f>IF(A19="","",YEAR(A19))</f>
        <v/>
      </c>
    </row>
    <row r="20">
      <c r="A20" s="50" t="n">
        <v>46382</v>
      </c>
      <c r="B20" s="51" t="inlineStr">
        <is>
          <t>聖誕節後第一個周日</t>
        </is>
      </c>
      <c r="C20" s="51">
        <f>IF(A20="","",YEAR(A20))</f>
        <v/>
      </c>
    </row>
    <row r="21">
      <c r="A21" s="52" t="n"/>
      <c r="B21" s="53" t="n"/>
      <c r="C21" s="51">
        <f>IF(A21="","",YEAR(A21))</f>
        <v/>
      </c>
    </row>
    <row r="22">
      <c r="A22" s="52" t="n"/>
      <c r="B22" s="53" t="n"/>
      <c r="C22" s="51">
        <f>IF(A22="","",YEAR(A22))</f>
        <v/>
      </c>
    </row>
    <row r="23">
      <c r="A23" s="52" t="n"/>
      <c r="B23" s="53" t="n"/>
      <c r="C23" s="51">
        <f>IF(A23="","",YEAR(A23))</f>
        <v/>
      </c>
    </row>
    <row r="24">
      <c r="A24" s="52" t="n"/>
      <c r="B24" s="53" t="n"/>
      <c r="C24" s="51">
        <f>IF(A24="","",YEAR(A24))</f>
        <v/>
      </c>
    </row>
    <row r="25">
      <c r="A25" s="52" t="n"/>
      <c r="B25" s="53" t="n"/>
      <c r="C25" s="51">
        <f>IF(A25="","",YEAR(A25))</f>
        <v/>
      </c>
    </row>
    <row r="26">
      <c r="A26" s="52" t="n"/>
      <c r="B26" s="53" t="n"/>
      <c r="C26" s="51">
        <f>IF(A26="","",YEAR(A26))</f>
        <v/>
      </c>
    </row>
    <row r="27">
      <c r="A27" s="52" t="n"/>
      <c r="B27" s="53" t="n"/>
      <c r="C27" s="51">
        <f>IF(A27="","",YEAR(A27))</f>
        <v/>
      </c>
    </row>
    <row r="28">
      <c r="A28" s="52" t="n"/>
      <c r="B28" s="53" t="n"/>
      <c r="C28" s="51">
        <f>IF(A28="","",YEAR(A28))</f>
        <v/>
      </c>
    </row>
    <row r="29">
      <c r="A29" s="52" t="n"/>
      <c r="B29" s="53" t="n"/>
      <c r="C29" s="51">
        <f>IF(A29="","",YEAR(A29))</f>
        <v/>
      </c>
    </row>
    <row r="30">
      <c r="A30" s="52" t="n"/>
      <c r="B30" s="53" t="n"/>
      <c r="C30" s="51">
        <f>IF(A30="","",YEAR(A30))</f>
        <v/>
      </c>
    </row>
    <row r="31">
      <c r="A31" s="52" t="n"/>
      <c r="B31" s="53" t="n"/>
      <c r="C31" s="51">
        <f>IF(A31="","",YEAR(A31))</f>
        <v/>
      </c>
    </row>
    <row r="32">
      <c r="A32" s="52" t="n"/>
      <c r="B32" s="53" t="n"/>
      <c r="C32" s="51">
        <f>IF(A32="","",YEAR(A32))</f>
        <v/>
      </c>
    </row>
    <row r="33">
      <c r="A33" s="52" t="n"/>
      <c r="B33" s="53" t="n"/>
      <c r="C33" s="51">
        <f>IF(A33="","",YEAR(A33))</f>
        <v/>
      </c>
    </row>
    <row r="34">
      <c r="A34" s="52" t="n"/>
      <c r="B34" s="53" t="n"/>
      <c r="C34" s="51">
        <f>IF(A34="","",YEAR(A34))</f>
        <v/>
      </c>
    </row>
    <row r="35">
      <c r="A35" s="52" t="n"/>
      <c r="B35" s="53" t="n"/>
      <c r="C35" s="51">
        <f>IF(A35="","",YEAR(A35))</f>
        <v/>
      </c>
    </row>
    <row r="36">
      <c r="A36" s="52" t="n"/>
      <c r="B36" s="53" t="n"/>
      <c r="C36" s="51">
        <f>IF(A36="","",YEAR(A36))</f>
        <v/>
      </c>
    </row>
    <row r="37">
      <c r="A37" s="52" t="n"/>
      <c r="B37" s="53" t="n"/>
      <c r="C37" s="51">
        <f>IF(A37="","",YEAR(A37))</f>
        <v/>
      </c>
    </row>
    <row r="38">
      <c r="A38" s="52" t="n"/>
      <c r="B38" s="53" t="n"/>
      <c r="C38" s="51">
        <f>IF(A38="","",YEAR(A38))</f>
        <v/>
      </c>
    </row>
    <row r="39">
      <c r="A39" s="52" t="n"/>
      <c r="B39" s="53" t="n"/>
      <c r="C39" s="51">
        <f>IF(A39="","",YEAR(A39))</f>
        <v/>
      </c>
    </row>
    <row r="40">
      <c r="A40" s="52" t="n"/>
      <c r="B40" s="53" t="n"/>
      <c r="C40" s="51">
        <f>IF(A40="","",YEAR(A40))</f>
        <v/>
      </c>
    </row>
    <row r="41">
      <c r="A41" s="52" t="n"/>
      <c r="B41" s="53" t="n"/>
      <c r="C41" s="51">
        <f>IF(A41="","",YEAR(A41))</f>
        <v/>
      </c>
    </row>
    <row r="42">
      <c r="A42" s="52" t="n"/>
      <c r="B42" s="53" t="n"/>
      <c r="C42" s="51">
        <f>IF(A42="","",YEAR(A42))</f>
        <v/>
      </c>
    </row>
    <row r="43">
      <c r="A43" s="52" t="n"/>
      <c r="B43" s="53" t="n"/>
      <c r="C43" s="51">
        <f>IF(A43="","",YEAR(A43))</f>
        <v/>
      </c>
    </row>
    <row r="44">
      <c r="A44" s="52" t="n"/>
      <c r="B44" s="53" t="n"/>
      <c r="C44" s="51">
        <f>IF(A44="","",YEAR(A44))</f>
        <v/>
      </c>
    </row>
    <row r="45">
      <c r="A45" s="52" t="n"/>
      <c r="B45" s="53" t="n"/>
      <c r="C45" s="51">
        <f>IF(A45="","",YEAR(A45))</f>
        <v/>
      </c>
    </row>
    <row r="46">
      <c r="A46" s="52" t="n"/>
      <c r="B46" s="53" t="n"/>
      <c r="C46" s="51">
        <f>IF(A46="","",YEAR(A46))</f>
        <v/>
      </c>
    </row>
    <row r="47">
      <c r="A47" s="52" t="n"/>
      <c r="B47" s="53" t="n"/>
      <c r="C47" s="51">
        <f>IF(A47="","",YEAR(A47))</f>
        <v/>
      </c>
    </row>
    <row r="48">
      <c r="A48" s="52" t="n"/>
      <c r="B48" s="53" t="n"/>
      <c r="C48" s="51">
        <f>IF(A48="","",YEAR(A48))</f>
        <v/>
      </c>
    </row>
    <row r="49">
      <c r="A49" s="52" t="n"/>
      <c r="B49" s="53" t="n"/>
      <c r="C49" s="51">
        <f>IF(A49="","",YEAR(A49))</f>
        <v/>
      </c>
    </row>
    <row r="50">
      <c r="A50" s="52" t="n"/>
      <c r="B50" s="53" t="n"/>
      <c r="C50" s="51">
        <f>IF(A50="","",YEAR(A50))</f>
        <v/>
      </c>
    </row>
    <row r="51">
      <c r="A51" s="52" t="n"/>
      <c r="B51" s="53" t="n"/>
      <c r="C51" s="51">
        <f>IF(A51="","",YEAR(A51))</f>
        <v/>
      </c>
    </row>
    <row r="52">
      <c r="A52" s="52" t="n"/>
      <c r="B52" s="53" t="n"/>
      <c r="C52" s="51">
        <f>IF(A52="","",YEAR(A52))</f>
        <v/>
      </c>
    </row>
    <row r="53">
      <c r="A53" s="52" t="n"/>
      <c r="B53" s="53" t="n"/>
      <c r="C53" s="51">
        <f>IF(A53="","",YEAR(A53))</f>
        <v/>
      </c>
    </row>
    <row r="54">
      <c r="A54" s="52" t="n"/>
      <c r="B54" s="53" t="n"/>
      <c r="C54" s="51">
        <f>IF(A54="","",YEAR(A54))</f>
        <v/>
      </c>
    </row>
    <row r="55">
      <c r="A55" s="52" t="n"/>
      <c r="B55" s="53" t="n"/>
      <c r="C55" s="51">
        <f>IF(A55="","",YEAR(A55))</f>
        <v/>
      </c>
    </row>
    <row r="56">
      <c r="A56" s="52" t="n"/>
      <c r="B56" s="53" t="n"/>
      <c r="C56" s="51">
        <f>IF(A56="","",YEAR(A56))</f>
        <v/>
      </c>
    </row>
    <row r="57">
      <c r="A57" s="52" t="n"/>
      <c r="B57" s="53" t="n"/>
      <c r="C57" s="51">
        <f>IF(A57="","",YEAR(A57))</f>
        <v/>
      </c>
    </row>
    <row r="58">
      <c r="A58" s="52" t="n"/>
      <c r="B58" s="53" t="n"/>
      <c r="C58" s="51">
        <f>IF(A58="","",YEAR(A58))</f>
        <v/>
      </c>
    </row>
    <row r="59">
      <c r="A59" s="52" t="n"/>
      <c r="B59" s="53" t="n"/>
      <c r="C59" s="51">
        <f>IF(A59="","",YEAR(A59))</f>
        <v/>
      </c>
    </row>
    <row r="60">
      <c r="A60" s="52" t="n"/>
      <c r="B60" s="53" t="n"/>
      <c r="C60" s="51">
        <f>IF(A60="","",YEAR(A60))</f>
        <v/>
      </c>
    </row>
    <row r="61">
      <c r="A61" s="52" t="n"/>
      <c r="B61" s="53" t="n"/>
      <c r="C61" s="51">
        <f>IF(A61="","",YEAR(A61))</f>
        <v/>
      </c>
    </row>
    <row r="62">
      <c r="A62" s="52" t="n"/>
      <c r="B62" s="53" t="n"/>
      <c r="C62" s="51">
        <f>IF(A62="","",YEAR(A62))</f>
        <v/>
      </c>
    </row>
    <row r="63">
      <c r="A63" s="52" t="n"/>
      <c r="B63" s="53" t="n"/>
      <c r="C63" s="51">
        <f>IF(A63="","",YEAR(A63))</f>
        <v/>
      </c>
    </row>
    <row r="64">
      <c r="A64" s="52" t="n"/>
      <c r="B64" s="53" t="n"/>
      <c r="C64" s="51">
        <f>IF(A64="","",YEAR(A64))</f>
        <v/>
      </c>
    </row>
    <row r="65">
      <c r="A65" s="52" t="n"/>
      <c r="B65" s="53" t="n"/>
      <c r="C65" s="51">
        <f>IF(A65="","",YEAR(A65))</f>
        <v/>
      </c>
    </row>
    <row r="66">
      <c r="A66" s="52" t="n"/>
      <c r="B66" s="53" t="n"/>
      <c r="C66" s="51">
        <f>IF(A66="","",YEAR(A66))</f>
        <v/>
      </c>
    </row>
    <row r="67">
      <c r="A67" s="52" t="n"/>
      <c r="B67" s="53" t="n"/>
      <c r="C67" s="51">
        <f>IF(A67="","",YEAR(A67))</f>
        <v/>
      </c>
    </row>
    <row r="68">
      <c r="A68" s="52" t="n"/>
      <c r="B68" s="53" t="n"/>
      <c r="C68" s="51">
        <f>IF(A68="","",YEAR(A68))</f>
        <v/>
      </c>
    </row>
    <row r="69">
      <c r="A69" s="52" t="n"/>
      <c r="B69" s="53" t="n"/>
      <c r="C69" s="51">
        <f>IF(A69="","",YEAR(A69))</f>
        <v/>
      </c>
    </row>
    <row r="70">
      <c r="A70" s="52" t="n"/>
      <c r="B70" s="53" t="n"/>
      <c r="C70" s="51">
        <f>IF(A70="","",YEAR(A70))</f>
        <v/>
      </c>
    </row>
    <row r="71">
      <c r="A71" s="52" t="n"/>
      <c r="B71" s="53" t="n"/>
      <c r="C71" s="51">
        <f>IF(A71="","",YEAR(A71))</f>
        <v/>
      </c>
    </row>
    <row r="72">
      <c r="A72" s="52" t="n"/>
      <c r="B72" s="53" t="n"/>
      <c r="C72" s="51">
        <f>IF(A72="","",YEAR(A72))</f>
        <v/>
      </c>
    </row>
    <row r="73">
      <c r="A73" s="52" t="n"/>
      <c r="B73" s="53" t="n"/>
      <c r="C73" s="51">
        <f>IF(A73="","",YEAR(A73))</f>
        <v/>
      </c>
    </row>
    <row r="74">
      <c r="A74" s="52" t="n"/>
      <c r="B74" s="53" t="n"/>
      <c r="C74" s="51">
        <f>IF(A74="","",YEAR(A74))</f>
        <v/>
      </c>
    </row>
    <row r="75">
      <c r="A75" s="52" t="n"/>
      <c r="B75" s="53" t="n"/>
      <c r="C75" s="51">
        <f>IF(A75="","",YEAR(A75))</f>
        <v/>
      </c>
    </row>
    <row r="76">
      <c r="A76" s="52" t="n"/>
      <c r="B76" s="53" t="n"/>
      <c r="C76" s="51">
        <f>IF(A76="","",YEAR(A76))</f>
        <v/>
      </c>
    </row>
    <row r="77">
      <c r="A77" s="52" t="n"/>
      <c r="B77" s="53" t="n"/>
      <c r="C77" s="51">
        <f>IF(A77="","",YEAR(A77))</f>
        <v/>
      </c>
    </row>
    <row r="78">
      <c r="A78" s="52" t="n"/>
      <c r="B78" s="53" t="n"/>
      <c r="C78" s="51">
        <f>IF(A78="","",YEAR(A78))</f>
        <v/>
      </c>
    </row>
    <row r="79">
      <c r="A79" s="52" t="n"/>
      <c r="B79" s="53" t="n"/>
      <c r="C79" s="51">
        <f>IF(A79="","",YEAR(A79))</f>
        <v/>
      </c>
    </row>
    <row r="80">
      <c r="A80" s="52" t="n"/>
      <c r="B80" s="53" t="n"/>
      <c r="C80" s="51">
        <f>IF(A80="","",YEAR(A80))</f>
        <v/>
      </c>
    </row>
    <row r="81">
      <c r="A81" s="52" t="n"/>
      <c r="B81" s="53" t="n"/>
      <c r="C81" s="51">
        <f>IF(A81="","",YEAR(A81))</f>
        <v/>
      </c>
    </row>
    <row r="82">
      <c r="A82" s="52" t="n"/>
      <c r="B82" s="53" t="n"/>
      <c r="C82" s="51">
        <f>IF(A82="","",YEAR(A82))</f>
        <v/>
      </c>
    </row>
    <row r="83">
      <c r="A83" s="52" t="n"/>
      <c r="B83" s="53" t="n"/>
      <c r="C83" s="51">
        <f>IF(A83="","",YEAR(A83))</f>
        <v/>
      </c>
    </row>
    <row r="84">
      <c r="A84" s="52" t="n"/>
      <c r="B84" s="53" t="n"/>
      <c r="C84" s="51">
        <f>IF(A84="","",YEAR(A84))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部門更表模版 — 使用提示</t>
        </is>
      </c>
    </row>
    <row r="3">
      <c r="A3" s="48" t="inlineStr">
        <is>
          <t>一、如何在「請假登記」新增請假紀錄</t>
        </is>
      </c>
    </row>
    <row r="4">
      <c r="A4" s="54" t="inlineStr">
        <is>
          <t>1. 打開「請假登記」工作表。</t>
        </is>
      </c>
    </row>
    <row r="5">
      <c r="A5" s="54" t="inlineStr">
        <is>
          <t>2. 在表格空白列選擇【員工姓名】（下拉選單來自設定區）、填寫【請假日期】（實際請假當天）、選擇【假別】AL 或 SL。</t>
        </is>
      </c>
    </row>
    <row r="6">
      <c r="A6" s="54" t="inlineStr">
        <is>
          <t>3. 連續多日請假：每一天各新增一列（例如 3/1～3/3 年假＝三列）。</t>
        </is>
      </c>
    </row>
    <row r="7">
      <c r="A7" s="54" t="inlineStr">
        <is>
          <t>4. 排班表週欄、本月排班日曆、已用／剩餘年假都會自動用公式從本表計算，請勿在其他表輸入請假。</t>
        </is>
      </c>
    </row>
    <row r="8">
      <c r="A8" s="54" t="inlineStr">
        <is>
          <t>5. 修改或刪除請假：直接改／清「請假登記」該列即可。</t>
        </is>
      </c>
    </row>
    <row r="10">
      <c r="A10" s="48" t="inlineStr">
        <is>
          <t>二、「本月排班日曆」為純檢視表（不可直接輸入）</t>
        </is>
      </c>
    </row>
    <row r="11">
      <c r="A11" s="54" t="inlineStr">
        <is>
          <t>1. 月曆隨 TODAY() 自動顯示當前月份（EOMONTH／DATE 推算）。</t>
        </is>
      </c>
    </row>
    <row r="12">
      <c r="A12" s="54" t="inlineStr">
        <is>
          <t>2. 每日顯示六位員工當日班次（A/P/N/S）；若「請假登記」有該日紀錄則改顯示 AL／SL 並變色。</t>
        </is>
      </c>
    </row>
    <row r="13">
      <c r="A13" s="54" t="inlineStr">
        <is>
          <t>3. 公眾假期會顯示假期名稱並以淺紫標示。</t>
        </is>
      </c>
    </row>
    <row r="14">
      <c r="A14" s="54" t="inlineStr">
        <is>
          <t>4. 請勿在此表輸入任何資料；所有請假異動必須回到「請假登記」。</t>
        </is>
      </c>
    </row>
    <row r="15">
      <c r="A15" s="54" t="inlineStr">
        <is>
          <t>5. 換月不會遺失紀錄——歷史請假永久保存在「請假登記」。</t>
        </is>
      </c>
    </row>
    <row r="17">
      <c r="A17" s="48" t="inlineStr">
        <is>
          <t>三、如何在「假期上班登記」手動登記上班人員</t>
        </is>
      </c>
    </row>
    <row r="18">
      <c r="A18" s="54" t="inlineStr">
        <is>
          <t>1. 打開「假期上班登記」：日期與假期名稱已由「公眾假期」自動帶入。</t>
        </is>
      </c>
    </row>
    <row r="19">
      <c r="A19" s="54" t="inlineStr">
        <is>
          <t>2. 在該列「上班人員1～6」用下拉選單選擇當日實際仍上班的員工（可留空）。</t>
        </is>
      </c>
    </row>
    <row r="20">
      <c r="A20" s="54" t="inlineStr">
        <is>
          <t>3. 下方「補假統計區」會自動 COUNTIF／SUMPRODUCT 計算每人公眾假期上班次數。</t>
        </is>
      </c>
    </row>
    <row r="21">
      <c r="A21" s="54" t="inlineStr">
        <is>
          <t>4. 「排班表」的本年新增補假／累積補假結餘會引用此統計（累積＝期初補假＋本年）。</t>
        </is>
      </c>
    </row>
    <row r="22">
      <c r="A22" s="54" t="inlineStr">
        <is>
          <t>5. 換年前建議把累積結餘抄入「期初補假」，再改顯示年份。</t>
        </is>
      </c>
    </row>
    <row r="24">
      <c r="A24" s="48" t="inlineStr">
        <is>
          <t>四、年頭更新與人員</t>
        </is>
      </c>
    </row>
    <row r="25">
      <c r="A25" s="54" t="inlineStr">
        <is>
          <t>1. 「設定」→ 只改【顯示年份】；【輪班基準日】保持 2026-06-29。</t>
        </is>
      </c>
    </row>
    <row r="26">
      <c r="A26" s="54" t="inlineStr">
        <is>
          <t>2. 「公眾假期」追加新一年日期與名稱。</t>
        </is>
      </c>
    </row>
    <row r="27">
      <c r="A27" s="54" t="inlineStr">
        <is>
          <t>3. 每人【年假額度（天）】在設定表各自填寫（已取消統一額度）。</t>
        </is>
      </c>
    </row>
    <row r="28">
      <c r="A28" s="54" t="inlineStr">
        <is>
          <t>4. 改姓名只改設定區；全表公式自動更新。第六人：填姓名、類型改 R/S、設 Offset 與額度。</t>
        </is>
      </c>
    </row>
    <row r="30">
      <c r="A30" s="48" t="inlineStr">
        <is>
          <t>五、16 週輪班（不變）</t>
        </is>
      </c>
    </row>
    <row r="31">
      <c r="A31" s="54" t="inlineStr">
        <is>
          <t>錨點 2026-06-29；MOD(週差+Offset,16)：0–3 A、4–7 P、8–11 N、12–15 P。</t>
        </is>
      </c>
    </row>
    <row r="32">
      <c r="A32" s="54" t="inlineStr">
        <is>
          <t>Offset 0/4/8/12 錯開，保證每週 A/P/N 皆有人。ARTHUR 固定 S。</t>
        </is>
      </c>
    </row>
    <row r="34">
      <c r="A34" s="48" t="inlineStr">
        <is>
          <t>六、顏色圖例</t>
        </is>
      </c>
    </row>
    <row r="35">
      <c r="A35" s="54" t="inlineStr">
        <is>
          <t>S＝白｜A＝灰｜P＝綠｜N＝藍｜AL＝黃｜SL＝橙｜公眾假期＝淺紫｜衝突週＝紅</t>
        </is>
      </c>
    </row>
  </sheetData>
  <mergeCells count="29">
    <mergeCell ref="A24:B24"/>
    <mergeCell ref="A30:B30"/>
    <mergeCell ref="A15:B15"/>
    <mergeCell ref="A11:B11"/>
    <mergeCell ref="A1:B1"/>
    <mergeCell ref="A6:B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32:B32"/>
    <mergeCell ref="A14:B14"/>
    <mergeCell ref="A17:B17"/>
    <mergeCell ref="A8:B8"/>
    <mergeCell ref="A22:B22"/>
    <mergeCell ref="A35:B35"/>
    <mergeCell ref="A4:B4"/>
    <mergeCell ref="A20:B20"/>
    <mergeCell ref="A19:B19"/>
    <mergeCell ref="A10:B10"/>
    <mergeCell ref="A28:B28"/>
    <mergeCell ref="A13:B13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2026-07-23T13:41:38Z</dcterms:created>
  <dcterms:modified xsi:type="dcterms:W3CDTF">2026-07-23T13:41:38Z</dcterms:modified>
</cp:coreProperties>
</file>