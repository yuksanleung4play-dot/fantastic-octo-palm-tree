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排班表" sheetId="1" state="visible" r:id="rId1"/>
    <sheet name="設定" sheetId="2" state="visible" r:id="rId2"/>
    <sheet name="請假登錄" sheetId="3" state="visible" r:id="rId3"/>
    <sheet name="公眾假期" sheetId="4" state="visible" r:id="rId4"/>
    <sheet name="使用說明" sheetId="5" state="visible" r:id="rId5"/>
  </sheets>
  <definedNames>
    <definedName name="HolidayDates">'公眾假期'!$A$5:$A$80</definedName>
    <definedName name="HolidayNames">'公眾假期'!$B$5:$B$80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"/>
    <numFmt numFmtId="166" formatCode="M/D"/>
  </numFmts>
  <fonts count="9">
    <font>
      <name val="Calibri"/>
      <family val="2"/>
      <color theme="1"/>
      <sz val="11"/>
      <scheme val="minor"/>
    </font>
    <font>
      <name val="Microsoft JhengHei"/>
      <b val="1"/>
      <color rgb="001F4E79"/>
      <sz val="16"/>
    </font>
    <font>
      <name val="Microsoft JhengHei"/>
      <b val="1"/>
      <sz val="10"/>
    </font>
    <font>
      <name val="Microsoft JhengHei"/>
      <b val="1"/>
      <color rgb="00C00000"/>
      <sz val="14"/>
    </font>
    <font>
      <name val="Microsoft JhengHei"/>
      <i val="1"/>
      <color rgb="00C00000"/>
      <sz val="9"/>
    </font>
    <font>
      <name val="Microsoft JhengHei"/>
      <sz val="9"/>
    </font>
    <font>
      <name val="Microsoft JhengHei"/>
      <b val="1"/>
      <color rgb="00FFFFFF"/>
      <sz val="10"/>
    </font>
    <font>
      <name val="Microsoft JhengHei"/>
      <sz val="10"/>
    </font>
    <font>
      <name val="Microsoft JhengHei"/>
      <b val="1"/>
      <color rgb="00FFFFFF"/>
      <sz val="11"/>
    </font>
  </fonts>
  <fills count="17">
    <fill>
      <patternFill/>
    </fill>
    <fill>
      <patternFill patternType="gray125"/>
    </fill>
    <fill>
      <patternFill patternType="solid">
        <fgColor rgb="00FFF9E6"/>
      </patternFill>
    </fill>
    <fill>
      <patternFill patternType="solid">
        <fgColor rgb="00FCE4D6"/>
      </patternFill>
    </fill>
    <fill>
      <patternFill patternType="solid">
        <fgColor rgb="001F4E79"/>
      </patternFill>
    </fill>
    <fill>
      <patternFill patternType="solid">
        <fgColor rgb="00D6EAF8"/>
      </patternFill>
    </fill>
    <fill>
      <patternFill patternType="solid">
        <fgColor rgb="00F2F2F2"/>
      </patternFill>
    </fill>
    <fill>
      <patternFill patternType="solid">
        <fgColor rgb="00FFFFFF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BDD7EE"/>
      </patternFill>
    </fill>
    <fill>
      <patternFill patternType="solid">
        <fgColor rgb="00FFFF00"/>
      </patternFill>
    </fill>
    <fill>
      <patternFill patternType="solid">
        <fgColor rgb="00F4B183"/>
      </patternFill>
    </fill>
    <fill>
      <patternFill patternType="solid">
        <fgColor rgb="00E2D5F1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2E75B6"/>
      </patternFill>
    </fill>
  </fills>
  <borders count="6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  <border>
      <left/>
      <right/>
      <top style="thin">
        <color rgb="00B0B0B0"/>
      </top>
      <bottom/>
      <diagonal/>
    </border>
    <border>
      <left/>
      <right style="thin">
        <color rgb="00B0B0B0"/>
      </right>
      <top style="thin">
        <color rgb="00B0B0B0"/>
      </top>
      <bottom/>
      <diagonal/>
    </border>
    <border>
      <left/>
      <right/>
      <top style="thin">
        <color rgb="00B0B0B0"/>
      </top>
      <bottom style="thin">
        <color rgb="00B0B0B0"/>
      </bottom>
      <diagonal/>
    </border>
    <border>
      <left/>
      <right style="thin">
        <color rgb="00B0B0B0"/>
      </right>
      <top style="thin">
        <color rgb="00B0B0B0"/>
      </top>
      <bottom style="thin">
        <color rgb="00B0B0B0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1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12" borderId="0" pivotButton="0" quotePrefix="0" xfId="0"/>
    <xf numFmtId="165" fontId="2" fillId="0" borderId="0" pivotButton="0" quotePrefix="0" xfId="0"/>
    <xf numFmtId="165" fontId="0" fillId="14" borderId="1" pivotButton="0" quotePrefix="0" xfId="0"/>
    <xf numFmtId="0" fontId="0" fillId="14" borderId="1" pivotButton="0" quotePrefix="0" xfId="0"/>
    <xf numFmtId="0" fontId="2" fillId="12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2" fillId="10" borderId="1" applyAlignment="1" pivotButton="0" quotePrefix="0" xfId="0">
      <alignment horizontal="center" vertical="center" wrapText="1"/>
    </xf>
    <xf numFmtId="0" fontId="2" fillId="11" borderId="1" applyAlignment="1" pivotButton="0" quotePrefix="0" xfId="0">
      <alignment horizontal="center" vertical="center" wrapText="1"/>
    </xf>
    <xf numFmtId="0" fontId="2" fillId="5" borderId="1" pivotButton="0" quotePrefix="0" xfId="0"/>
    <xf numFmtId="0" fontId="2" fillId="1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4" borderId="1" applyAlignment="1" pivotButton="0" quotePrefix="0" xfId="0">
      <alignment horizontal="center" vertical="center" wrapText="1"/>
    </xf>
    <xf numFmtId="166" fontId="6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15" borderId="1" applyAlignment="1" pivotButton="0" quotePrefix="0" xfId="0">
      <alignment horizontal="center" vertical="center" wrapText="1"/>
    </xf>
    <xf numFmtId="0" fontId="0" fillId="15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5" fillId="13" borderId="1" pivotButton="0" quotePrefix="0" xfId="0"/>
    <xf numFmtId="0" fontId="5" fillId="13" borderId="1" applyAlignment="1" pivotButton="0" quotePrefix="0" xfId="0">
      <alignment horizontal="center" vertical="center" wrapText="1"/>
    </xf>
    <xf numFmtId="0" fontId="5" fillId="6" borderId="0" pivotButton="0" quotePrefix="0" xfId="0"/>
    <xf numFmtId="0" fontId="5" fillId="6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0" pivotButton="0" quotePrefix="0" xfId="0"/>
    <xf numFmtId="165" fontId="2" fillId="3" borderId="1" pivotButton="0" quotePrefix="0" xfId="0"/>
    <xf numFmtId="0" fontId="0" fillId="2" borderId="1" pivotButton="0" quotePrefix="0" xfId="0"/>
    <xf numFmtId="0" fontId="0" fillId="5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0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7" fillId="0" borderId="0" pivotButton="0" quotePrefix="0" xfId="0"/>
    <xf numFmtId="0" fontId="6" fillId="4" borderId="1" pivotButton="0" quotePrefix="0" xfId="0"/>
    <xf numFmtId="165" fontId="0" fillId="13" borderId="1" pivotButton="0" quotePrefix="0" xfId="0"/>
    <xf numFmtId="0" fontId="0" fillId="0" borderId="1" pivotButton="0" quotePrefix="0" xfId="0"/>
    <xf numFmtId="165" fontId="0" fillId="2" borderId="1" pivotButton="0" quotePrefix="0" xfId="0"/>
    <xf numFmtId="0" fontId="8" fillId="16" borderId="0" pivotButton="0" quotePrefix="0" xfId="0"/>
  </cellXfs>
  <cellStyles count="1">
    <cellStyle name="Normal" xfId="0" builtinId="0" hidden="0"/>
  </cellStyles>
  <dxfs count="8">
    <dxf>
      <fill>
        <patternFill patternType="solid">
          <fgColor rgb="00FFFFFF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FFFF00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E2D5F1"/>
        </patternFill>
      </fill>
    </dxf>
    <dxf>
      <fill>
        <patternFill patternType="solid">
          <fgColor rgb="00FF6B6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H29"/>
  <sheetViews>
    <sheetView workbookViewId="0">
      <pane xSplit="7" ySplit="13" topLeftCell="H1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  <col width="4.5" customWidth="1" min="18" max="18"/>
    <col width="4.5" customWidth="1" min="19" max="19"/>
    <col width="4.5" customWidth="1" min="20" max="20"/>
    <col width="4.5" customWidth="1" min="21" max="21"/>
    <col width="4.5" customWidth="1" min="22" max="22"/>
    <col width="4.5" customWidth="1" min="23" max="23"/>
    <col width="4.5" customWidth="1" min="24" max="24"/>
    <col width="4.5" customWidth="1" min="25" max="25"/>
    <col width="4.5" customWidth="1" min="26" max="26"/>
    <col width="4.5" customWidth="1" min="27" max="27"/>
    <col width="4.5" customWidth="1" min="28" max="28"/>
    <col width="4.5" customWidth="1" min="29" max="29"/>
    <col width="4.5" customWidth="1" min="30" max="30"/>
    <col width="4.5" customWidth="1" min="31" max="31"/>
    <col width="4.5" customWidth="1" min="32" max="32"/>
    <col width="4.5" customWidth="1" min="33" max="33"/>
    <col width="4.5" customWidth="1" min="34" max="34"/>
    <col width="4.5" customWidth="1" min="35" max="35"/>
    <col width="4.5" customWidth="1" min="36" max="36"/>
    <col width="4.5" customWidth="1" min="37" max="37"/>
    <col width="4.5" customWidth="1" min="38" max="38"/>
    <col width="4.5" customWidth="1" min="39" max="39"/>
    <col width="4.5" customWidth="1" min="40" max="40"/>
    <col width="4.5" customWidth="1" min="41" max="41"/>
    <col width="4.5" customWidth="1" min="42" max="42"/>
    <col width="4.5" customWidth="1" min="43" max="43"/>
    <col width="4.5" customWidth="1" min="44" max="44"/>
    <col width="4.5" customWidth="1" min="45" max="45"/>
    <col width="4.5" customWidth="1" min="46" max="46"/>
    <col width="4.5" customWidth="1" min="47" max="47"/>
    <col width="4.5" customWidth="1" min="48" max="48"/>
    <col width="4.5" customWidth="1" min="49" max="49"/>
    <col width="4.5" customWidth="1" min="50" max="50"/>
    <col width="4.5" customWidth="1" min="51" max="51"/>
    <col width="4.5" customWidth="1" min="52" max="52"/>
    <col width="4.5" customWidth="1" min="53" max="53"/>
    <col width="4.5" customWidth="1" min="54" max="54"/>
    <col width="4.5" customWidth="1" min="55" max="55"/>
    <col width="4.5" customWidth="1" min="56" max="56"/>
    <col width="4.5" customWidth="1" min="57" max="57"/>
    <col width="4.5" customWidth="1" min="58" max="58"/>
    <col width="4.5" customWidth="1" min="59" max="59"/>
    <col width="4.5" customWidth="1" min="60" max="60"/>
  </cols>
  <sheetData>
    <row r="1">
      <c r="A1" s="1" t="inlineStr">
        <is>
          <t>部門輪班更表（跨年模版）</t>
        </is>
      </c>
      <c r="F1" s="2" t="inlineStr">
        <is>
          <t>顯示年份</t>
        </is>
      </c>
      <c r="G1" s="3">
        <f>'設定'!$B$3</f>
        <v/>
      </c>
      <c r="H1" s="4" t="inlineStr">
        <is>
          <t>（修改請到「設定」工作表）</t>
        </is>
      </c>
    </row>
    <row r="3">
      <c r="A3" s="5" t="inlineStr">
        <is>
          <t>本週／下週快覽</t>
        </is>
      </c>
    </row>
    <row r="4">
      <c r="A4" t="inlineStr">
        <is>
          <t>今天</t>
        </is>
      </c>
      <c r="B4" s="6">
        <f>TODAY()</f>
        <v/>
      </c>
    </row>
    <row r="5">
      <c r="A5" t="inlineStr">
        <is>
          <t>本週起始（一）</t>
        </is>
      </c>
      <c r="B5" s="7">
        <f>B4-WEEKDAY(B4,2)+1</f>
        <v/>
      </c>
      <c r="D5" t="inlineStr">
        <is>
          <t>本週欄位</t>
        </is>
      </c>
      <c r="E5" s="8">
        <f>IFERROR(MATCH(B5,$H$13:$BH$13,0),"非本年")</f>
        <v/>
      </c>
    </row>
    <row r="6">
      <c r="A6" t="inlineStr">
        <is>
          <t>下週起始（一）</t>
        </is>
      </c>
      <c r="B6" s="7">
        <f>B5+7</f>
        <v/>
      </c>
      <c r="D6" t="inlineStr">
        <is>
          <t>下週欄位</t>
        </is>
      </c>
      <c r="E6" s="8">
        <f>IFERROR(MATCH(B6,$H$13:$BH$13,0),"非本年")</f>
        <v/>
      </c>
    </row>
    <row r="8">
      <c r="A8" s="9" t="inlineStr">
        <is>
          <t>人員</t>
        </is>
      </c>
      <c r="B8" s="9" t="inlineStr">
        <is>
          <t>本週班次</t>
        </is>
      </c>
      <c r="C8" s="9" t="inlineStr">
        <is>
          <t>下週班次</t>
        </is>
      </c>
      <c r="D8" s="2" t="inlineStr">
        <is>
          <t>圖例</t>
        </is>
      </c>
      <c r="E8" s="10" t="inlineStr">
        <is>
          <t>S</t>
        </is>
      </c>
      <c r="F8" s="11" t="inlineStr">
        <is>
          <t>A</t>
        </is>
      </c>
      <c r="G8" s="12" t="inlineStr">
        <is>
          <t>P</t>
        </is>
      </c>
      <c r="H8" s="13" t="inlineStr">
        <is>
          <t>N</t>
        </is>
      </c>
      <c r="I8" s="14" t="inlineStr">
        <is>
          <t>AL</t>
        </is>
      </c>
      <c r="J8" s="9" t="inlineStr">
        <is>
          <t>SL</t>
        </is>
      </c>
    </row>
    <row r="9">
      <c r="A9" s="15">
        <f>'設定'!B9</f>
        <v/>
      </c>
      <c r="B9" s="16">
        <f>IF(OR($E$5="",$E$5="非本年"),"",IFERROR(INDEX($H14:$BH14,$E$5),""))</f>
        <v/>
      </c>
      <c r="C9" s="16">
        <f>IF(OR($E$6="",$E$6="非本年"),"",IFERROR(INDEX($H14:$BH14,$E$6),""))</f>
        <v/>
      </c>
    </row>
    <row r="10">
      <c r="A10" s="15">
        <f>'設定'!B10</f>
        <v/>
      </c>
      <c r="B10" s="16">
        <f>IF(OR($E$5="",$E$5="非本年"),"",IFERROR(INDEX($H15:$BH15,$E$5),""))</f>
        <v/>
      </c>
      <c r="C10" s="16">
        <f>IF(OR($E$6="",$E$6="非本年"),"",IFERROR(INDEX($H15:$BH15,$E$6),""))</f>
        <v/>
      </c>
    </row>
    <row r="11">
      <c r="A11" s="15">
        <f>'設定'!B11</f>
        <v/>
      </c>
      <c r="B11" s="16">
        <f>IF(OR($E$5="",$E$5="非本年"),"",IFERROR(INDEX($H16:$BH16,$E$5),""))</f>
        <v/>
      </c>
      <c r="C11" s="16">
        <f>IF(OR($E$6="",$E$6="非本年"),"",IFERROR(INDEX($H16:$BH16,$E$6),""))</f>
        <v/>
      </c>
    </row>
    <row r="12">
      <c r="A12" s="15" t="inlineStr">
        <is>
          <t>全年排班主表（修改姓名／年份請到「設定」；請假請到「請假登錄」）</t>
        </is>
      </c>
      <c r="B12" s="17" t="n"/>
      <c r="C12" s="17" t="n"/>
      <c r="D12" s="17" t="n"/>
      <c r="E12" s="17" t="n"/>
      <c r="F12" s="17" t="n"/>
      <c r="G12" s="18" t="n"/>
    </row>
    <row r="13" ht="32" customHeight="1">
      <c r="A13" s="19" t="inlineStr">
        <is>
          <t>員工姓名</t>
        </is>
      </c>
      <c r="B13" s="19" t="inlineStr">
        <is>
          <t>已用年假
(本年)</t>
        </is>
      </c>
      <c r="C13" s="19" t="inlineStr">
        <is>
          <t>剩餘年假
(本年)</t>
        </is>
      </c>
      <c r="D13" s="19" t="inlineStr">
        <is>
          <t>已用病假
(本年)</t>
        </is>
      </c>
      <c r="E13" s="19" t="inlineStr">
        <is>
          <t>累積補假
結餘</t>
        </is>
      </c>
      <c r="F13" s="19" t="inlineStr">
        <is>
          <t>期初補假
(可調)</t>
        </is>
      </c>
      <c r="G13" s="19" t="inlineStr">
        <is>
          <t>本年新增
補假</t>
        </is>
      </c>
      <c r="H13" s="20">
        <f>IF(((DATE('設定'!$B$3,1,1)+MOD(8-WEEKDAY(DATE('設定'!$B$3,1,1),2),7))+0*7)&gt;DATE('設定'!$B$3,12,31),"",(DATE('設定'!$B$3,1,1)+MOD(8-WEEKDAY(DATE('設定'!$B$3,1,1),2),7))+0*7)</f>
        <v/>
      </c>
      <c r="I13" s="20">
        <f>IF(((DATE('設定'!$B$3,1,1)+MOD(8-WEEKDAY(DATE('設定'!$B$3,1,1),2),7))+1*7)&gt;DATE('設定'!$B$3,12,31),"",(DATE('設定'!$B$3,1,1)+MOD(8-WEEKDAY(DATE('設定'!$B$3,1,1),2),7))+1*7)</f>
        <v/>
      </c>
      <c r="J13" s="20">
        <f>IF(((DATE('設定'!$B$3,1,1)+MOD(8-WEEKDAY(DATE('設定'!$B$3,1,1),2),7))+2*7)&gt;DATE('設定'!$B$3,12,31),"",(DATE('設定'!$B$3,1,1)+MOD(8-WEEKDAY(DATE('設定'!$B$3,1,1),2),7))+2*7)</f>
        <v/>
      </c>
      <c r="K13" s="20">
        <f>IF(((DATE('設定'!$B$3,1,1)+MOD(8-WEEKDAY(DATE('設定'!$B$3,1,1),2),7))+3*7)&gt;DATE('設定'!$B$3,12,31),"",(DATE('設定'!$B$3,1,1)+MOD(8-WEEKDAY(DATE('設定'!$B$3,1,1),2),7))+3*7)</f>
        <v/>
      </c>
      <c r="L13" s="20">
        <f>IF(((DATE('設定'!$B$3,1,1)+MOD(8-WEEKDAY(DATE('設定'!$B$3,1,1),2),7))+4*7)&gt;DATE('設定'!$B$3,12,31),"",(DATE('設定'!$B$3,1,1)+MOD(8-WEEKDAY(DATE('設定'!$B$3,1,1),2),7))+4*7)</f>
        <v/>
      </c>
      <c r="M13" s="20">
        <f>IF(((DATE('設定'!$B$3,1,1)+MOD(8-WEEKDAY(DATE('設定'!$B$3,1,1),2),7))+5*7)&gt;DATE('設定'!$B$3,12,31),"",(DATE('設定'!$B$3,1,1)+MOD(8-WEEKDAY(DATE('設定'!$B$3,1,1),2),7))+5*7)</f>
        <v/>
      </c>
      <c r="N13" s="20">
        <f>IF(((DATE('設定'!$B$3,1,1)+MOD(8-WEEKDAY(DATE('設定'!$B$3,1,1),2),7))+6*7)&gt;DATE('設定'!$B$3,12,31),"",(DATE('設定'!$B$3,1,1)+MOD(8-WEEKDAY(DATE('設定'!$B$3,1,1),2),7))+6*7)</f>
        <v/>
      </c>
      <c r="O13" s="20">
        <f>IF(((DATE('設定'!$B$3,1,1)+MOD(8-WEEKDAY(DATE('設定'!$B$3,1,1),2),7))+7*7)&gt;DATE('設定'!$B$3,12,31),"",(DATE('設定'!$B$3,1,1)+MOD(8-WEEKDAY(DATE('設定'!$B$3,1,1),2),7))+7*7)</f>
        <v/>
      </c>
      <c r="P13" s="20">
        <f>IF(((DATE('設定'!$B$3,1,1)+MOD(8-WEEKDAY(DATE('設定'!$B$3,1,1),2),7))+8*7)&gt;DATE('設定'!$B$3,12,31),"",(DATE('設定'!$B$3,1,1)+MOD(8-WEEKDAY(DATE('設定'!$B$3,1,1),2),7))+8*7)</f>
        <v/>
      </c>
      <c r="Q13" s="20">
        <f>IF(((DATE('設定'!$B$3,1,1)+MOD(8-WEEKDAY(DATE('設定'!$B$3,1,1),2),7))+9*7)&gt;DATE('設定'!$B$3,12,31),"",(DATE('設定'!$B$3,1,1)+MOD(8-WEEKDAY(DATE('設定'!$B$3,1,1),2),7))+9*7)</f>
        <v/>
      </c>
      <c r="R13" s="20">
        <f>IF(((DATE('設定'!$B$3,1,1)+MOD(8-WEEKDAY(DATE('設定'!$B$3,1,1),2),7))+10*7)&gt;DATE('設定'!$B$3,12,31),"",(DATE('設定'!$B$3,1,1)+MOD(8-WEEKDAY(DATE('設定'!$B$3,1,1),2),7))+10*7)</f>
        <v/>
      </c>
      <c r="S13" s="20">
        <f>IF(((DATE('設定'!$B$3,1,1)+MOD(8-WEEKDAY(DATE('設定'!$B$3,1,1),2),7))+11*7)&gt;DATE('設定'!$B$3,12,31),"",(DATE('設定'!$B$3,1,1)+MOD(8-WEEKDAY(DATE('設定'!$B$3,1,1),2),7))+11*7)</f>
        <v/>
      </c>
      <c r="T13" s="20">
        <f>IF(((DATE('設定'!$B$3,1,1)+MOD(8-WEEKDAY(DATE('設定'!$B$3,1,1),2),7))+12*7)&gt;DATE('設定'!$B$3,12,31),"",(DATE('設定'!$B$3,1,1)+MOD(8-WEEKDAY(DATE('設定'!$B$3,1,1),2),7))+12*7)</f>
        <v/>
      </c>
      <c r="U13" s="20">
        <f>IF(((DATE('設定'!$B$3,1,1)+MOD(8-WEEKDAY(DATE('設定'!$B$3,1,1),2),7))+13*7)&gt;DATE('設定'!$B$3,12,31),"",(DATE('設定'!$B$3,1,1)+MOD(8-WEEKDAY(DATE('設定'!$B$3,1,1),2),7))+13*7)</f>
        <v/>
      </c>
      <c r="V13" s="20">
        <f>IF(((DATE('設定'!$B$3,1,1)+MOD(8-WEEKDAY(DATE('設定'!$B$3,1,1),2),7))+14*7)&gt;DATE('設定'!$B$3,12,31),"",(DATE('設定'!$B$3,1,1)+MOD(8-WEEKDAY(DATE('設定'!$B$3,1,1),2),7))+14*7)</f>
        <v/>
      </c>
      <c r="W13" s="20">
        <f>IF(((DATE('設定'!$B$3,1,1)+MOD(8-WEEKDAY(DATE('設定'!$B$3,1,1),2),7))+15*7)&gt;DATE('設定'!$B$3,12,31),"",(DATE('設定'!$B$3,1,1)+MOD(8-WEEKDAY(DATE('設定'!$B$3,1,1),2),7))+15*7)</f>
        <v/>
      </c>
      <c r="X13" s="20">
        <f>IF(((DATE('設定'!$B$3,1,1)+MOD(8-WEEKDAY(DATE('設定'!$B$3,1,1),2),7))+16*7)&gt;DATE('設定'!$B$3,12,31),"",(DATE('設定'!$B$3,1,1)+MOD(8-WEEKDAY(DATE('設定'!$B$3,1,1),2),7))+16*7)</f>
        <v/>
      </c>
      <c r="Y13" s="20">
        <f>IF(((DATE('設定'!$B$3,1,1)+MOD(8-WEEKDAY(DATE('設定'!$B$3,1,1),2),7))+17*7)&gt;DATE('設定'!$B$3,12,31),"",(DATE('設定'!$B$3,1,1)+MOD(8-WEEKDAY(DATE('設定'!$B$3,1,1),2),7))+17*7)</f>
        <v/>
      </c>
      <c r="Z13" s="20">
        <f>IF(((DATE('設定'!$B$3,1,1)+MOD(8-WEEKDAY(DATE('設定'!$B$3,1,1),2),7))+18*7)&gt;DATE('設定'!$B$3,12,31),"",(DATE('設定'!$B$3,1,1)+MOD(8-WEEKDAY(DATE('設定'!$B$3,1,1),2),7))+18*7)</f>
        <v/>
      </c>
      <c r="AA13" s="20">
        <f>IF(((DATE('設定'!$B$3,1,1)+MOD(8-WEEKDAY(DATE('設定'!$B$3,1,1),2),7))+19*7)&gt;DATE('設定'!$B$3,12,31),"",(DATE('設定'!$B$3,1,1)+MOD(8-WEEKDAY(DATE('設定'!$B$3,1,1),2),7))+19*7)</f>
        <v/>
      </c>
      <c r="AB13" s="20">
        <f>IF(((DATE('設定'!$B$3,1,1)+MOD(8-WEEKDAY(DATE('設定'!$B$3,1,1),2),7))+20*7)&gt;DATE('設定'!$B$3,12,31),"",(DATE('設定'!$B$3,1,1)+MOD(8-WEEKDAY(DATE('設定'!$B$3,1,1),2),7))+20*7)</f>
        <v/>
      </c>
      <c r="AC13" s="20">
        <f>IF(((DATE('設定'!$B$3,1,1)+MOD(8-WEEKDAY(DATE('設定'!$B$3,1,1),2),7))+21*7)&gt;DATE('設定'!$B$3,12,31),"",(DATE('設定'!$B$3,1,1)+MOD(8-WEEKDAY(DATE('設定'!$B$3,1,1),2),7))+21*7)</f>
        <v/>
      </c>
      <c r="AD13" s="20">
        <f>IF(((DATE('設定'!$B$3,1,1)+MOD(8-WEEKDAY(DATE('設定'!$B$3,1,1),2),7))+22*7)&gt;DATE('設定'!$B$3,12,31),"",(DATE('設定'!$B$3,1,1)+MOD(8-WEEKDAY(DATE('設定'!$B$3,1,1),2),7))+22*7)</f>
        <v/>
      </c>
      <c r="AE13" s="20">
        <f>IF(((DATE('設定'!$B$3,1,1)+MOD(8-WEEKDAY(DATE('設定'!$B$3,1,1),2),7))+23*7)&gt;DATE('設定'!$B$3,12,31),"",(DATE('設定'!$B$3,1,1)+MOD(8-WEEKDAY(DATE('設定'!$B$3,1,1),2),7))+23*7)</f>
        <v/>
      </c>
      <c r="AF13" s="20">
        <f>IF(((DATE('設定'!$B$3,1,1)+MOD(8-WEEKDAY(DATE('設定'!$B$3,1,1),2),7))+24*7)&gt;DATE('設定'!$B$3,12,31),"",(DATE('設定'!$B$3,1,1)+MOD(8-WEEKDAY(DATE('設定'!$B$3,1,1),2),7))+24*7)</f>
        <v/>
      </c>
      <c r="AG13" s="20">
        <f>IF(((DATE('設定'!$B$3,1,1)+MOD(8-WEEKDAY(DATE('設定'!$B$3,1,1),2),7))+25*7)&gt;DATE('設定'!$B$3,12,31),"",(DATE('設定'!$B$3,1,1)+MOD(8-WEEKDAY(DATE('設定'!$B$3,1,1),2),7))+25*7)</f>
        <v/>
      </c>
      <c r="AH13" s="20">
        <f>IF(((DATE('設定'!$B$3,1,1)+MOD(8-WEEKDAY(DATE('設定'!$B$3,1,1),2),7))+26*7)&gt;DATE('設定'!$B$3,12,31),"",(DATE('設定'!$B$3,1,1)+MOD(8-WEEKDAY(DATE('設定'!$B$3,1,1),2),7))+26*7)</f>
        <v/>
      </c>
      <c r="AI13" s="20">
        <f>IF(((DATE('設定'!$B$3,1,1)+MOD(8-WEEKDAY(DATE('設定'!$B$3,1,1),2),7))+27*7)&gt;DATE('設定'!$B$3,12,31),"",(DATE('設定'!$B$3,1,1)+MOD(8-WEEKDAY(DATE('設定'!$B$3,1,1),2),7))+27*7)</f>
        <v/>
      </c>
      <c r="AJ13" s="20">
        <f>IF(((DATE('設定'!$B$3,1,1)+MOD(8-WEEKDAY(DATE('設定'!$B$3,1,1),2),7))+28*7)&gt;DATE('設定'!$B$3,12,31),"",(DATE('設定'!$B$3,1,1)+MOD(8-WEEKDAY(DATE('設定'!$B$3,1,1),2),7))+28*7)</f>
        <v/>
      </c>
      <c r="AK13" s="20">
        <f>IF(((DATE('設定'!$B$3,1,1)+MOD(8-WEEKDAY(DATE('設定'!$B$3,1,1),2),7))+29*7)&gt;DATE('設定'!$B$3,12,31),"",(DATE('設定'!$B$3,1,1)+MOD(8-WEEKDAY(DATE('設定'!$B$3,1,1),2),7))+29*7)</f>
        <v/>
      </c>
      <c r="AL13" s="20">
        <f>IF(((DATE('設定'!$B$3,1,1)+MOD(8-WEEKDAY(DATE('設定'!$B$3,1,1),2),7))+30*7)&gt;DATE('設定'!$B$3,12,31),"",(DATE('設定'!$B$3,1,1)+MOD(8-WEEKDAY(DATE('設定'!$B$3,1,1),2),7))+30*7)</f>
        <v/>
      </c>
      <c r="AM13" s="20">
        <f>IF(((DATE('設定'!$B$3,1,1)+MOD(8-WEEKDAY(DATE('設定'!$B$3,1,1),2),7))+31*7)&gt;DATE('設定'!$B$3,12,31),"",(DATE('設定'!$B$3,1,1)+MOD(8-WEEKDAY(DATE('設定'!$B$3,1,1),2),7))+31*7)</f>
        <v/>
      </c>
      <c r="AN13" s="20">
        <f>IF(((DATE('設定'!$B$3,1,1)+MOD(8-WEEKDAY(DATE('設定'!$B$3,1,1),2),7))+32*7)&gt;DATE('設定'!$B$3,12,31),"",(DATE('設定'!$B$3,1,1)+MOD(8-WEEKDAY(DATE('設定'!$B$3,1,1),2),7))+32*7)</f>
        <v/>
      </c>
      <c r="AO13" s="20">
        <f>IF(((DATE('設定'!$B$3,1,1)+MOD(8-WEEKDAY(DATE('設定'!$B$3,1,1),2),7))+33*7)&gt;DATE('設定'!$B$3,12,31),"",(DATE('設定'!$B$3,1,1)+MOD(8-WEEKDAY(DATE('設定'!$B$3,1,1),2),7))+33*7)</f>
        <v/>
      </c>
      <c r="AP13" s="20">
        <f>IF(((DATE('設定'!$B$3,1,1)+MOD(8-WEEKDAY(DATE('設定'!$B$3,1,1),2),7))+34*7)&gt;DATE('設定'!$B$3,12,31),"",(DATE('設定'!$B$3,1,1)+MOD(8-WEEKDAY(DATE('設定'!$B$3,1,1),2),7))+34*7)</f>
        <v/>
      </c>
      <c r="AQ13" s="20">
        <f>IF(((DATE('設定'!$B$3,1,1)+MOD(8-WEEKDAY(DATE('設定'!$B$3,1,1),2),7))+35*7)&gt;DATE('設定'!$B$3,12,31),"",(DATE('設定'!$B$3,1,1)+MOD(8-WEEKDAY(DATE('設定'!$B$3,1,1),2),7))+35*7)</f>
        <v/>
      </c>
      <c r="AR13" s="20">
        <f>IF(((DATE('設定'!$B$3,1,1)+MOD(8-WEEKDAY(DATE('設定'!$B$3,1,1),2),7))+36*7)&gt;DATE('設定'!$B$3,12,31),"",(DATE('設定'!$B$3,1,1)+MOD(8-WEEKDAY(DATE('設定'!$B$3,1,1),2),7))+36*7)</f>
        <v/>
      </c>
      <c r="AS13" s="20">
        <f>IF(((DATE('設定'!$B$3,1,1)+MOD(8-WEEKDAY(DATE('設定'!$B$3,1,1),2),7))+37*7)&gt;DATE('設定'!$B$3,12,31),"",(DATE('設定'!$B$3,1,1)+MOD(8-WEEKDAY(DATE('設定'!$B$3,1,1),2),7))+37*7)</f>
        <v/>
      </c>
      <c r="AT13" s="20">
        <f>IF(((DATE('設定'!$B$3,1,1)+MOD(8-WEEKDAY(DATE('設定'!$B$3,1,1),2),7))+38*7)&gt;DATE('設定'!$B$3,12,31),"",(DATE('設定'!$B$3,1,1)+MOD(8-WEEKDAY(DATE('設定'!$B$3,1,1),2),7))+38*7)</f>
        <v/>
      </c>
      <c r="AU13" s="20">
        <f>IF(((DATE('設定'!$B$3,1,1)+MOD(8-WEEKDAY(DATE('設定'!$B$3,1,1),2),7))+39*7)&gt;DATE('設定'!$B$3,12,31),"",(DATE('設定'!$B$3,1,1)+MOD(8-WEEKDAY(DATE('設定'!$B$3,1,1),2),7))+39*7)</f>
        <v/>
      </c>
      <c r="AV13" s="20">
        <f>IF(((DATE('設定'!$B$3,1,1)+MOD(8-WEEKDAY(DATE('設定'!$B$3,1,1),2),7))+40*7)&gt;DATE('設定'!$B$3,12,31),"",(DATE('設定'!$B$3,1,1)+MOD(8-WEEKDAY(DATE('設定'!$B$3,1,1),2),7))+40*7)</f>
        <v/>
      </c>
      <c r="AW13" s="20">
        <f>IF(((DATE('設定'!$B$3,1,1)+MOD(8-WEEKDAY(DATE('設定'!$B$3,1,1),2),7))+41*7)&gt;DATE('設定'!$B$3,12,31),"",(DATE('設定'!$B$3,1,1)+MOD(8-WEEKDAY(DATE('設定'!$B$3,1,1),2),7))+41*7)</f>
        <v/>
      </c>
      <c r="AX13" s="20">
        <f>IF(((DATE('設定'!$B$3,1,1)+MOD(8-WEEKDAY(DATE('設定'!$B$3,1,1),2),7))+42*7)&gt;DATE('設定'!$B$3,12,31),"",(DATE('設定'!$B$3,1,1)+MOD(8-WEEKDAY(DATE('設定'!$B$3,1,1),2),7))+42*7)</f>
        <v/>
      </c>
      <c r="AY13" s="20">
        <f>IF(((DATE('設定'!$B$3,1,1)+MOD(8-WEEKDAY(DATE('設定'!$B$3,1,1),2),7))+43*7)&gt;DATE('設定'!$B$3,12,31),"",(DATE('設定'!$B$3,1,1)+MOD(8-WEEKDAY(DATE('設定'!$B$3,1,1),2),7))+43*7)</f>
        <v/>
      </c>
      <c r="AZ13" s="20">
        <f>IF(((DATE('設定'!$B$3,1,1)+MOD(8-WEEKDAY(DATE('設定'!$B$3,1,1),2),7))+44*7)&gt;DATE('設定'!$B$3,12,31),"",(DATE('設定'!$B$3,1,1)+MOD(8-WEEKDAY(DATE('設定'!$B$3,1,1),2),7))+44*7)</f>
        <v/>
      </c>
      <c r="BA13" s="20">
        <f>IF(((DATE('設定'!$B$3,1,1)+MOD(8-WEEKDAY(DATE('設定'!$B$3,1,1),2),7))+45*7)&gt;DATE('設定'!$B$3,12,31),"",(DATE('設定'!$B$3,1,1)+MOD(8-WEEKDAY(DATE('設定'!$B$3,1,1),2),7))+45*7)</f>
        <v/>
      </c>
      <c r="BB13" s="20">
        <f>IF(((DATE('設定'!$B$3,1,1)+MOD(8-WEEKDAY(DATE('設定'!$B$3,1,1),2),7))+46*7)&gt;DATE('設定'!$B$3,12,31),"",(DATE('設定'!$B$3,1,1)+MOD(8-WEEKDAY(DATE('設定'!$B$3,1,1),2),7))+46*7)</f>
        <v/>
      </c>
      <c r="BC13" s="20">
        <f>IF(((DATE('設定'!$B$3,1,1)+MOD(8-WEEKDAY(DATE('設定'!$B$3,1,1),2),7))+47*7)&gt;DATE('設定'!$B$3,12,31),"",(DATE('設定'!$B$3,1,1)+MOD(8-WEEKDAY(DATE('設定'!$B$3,1,1),2),7))+47*7)</f>
        <v/>
      </c>
      <c r="BD13" s="20">
        <f>IF(((DATE('設定'!$B$3,1,1)+MOD(8-WEEKDAY(DATE('設定'!$B$3,1,1),2),7))+48*7)&gt;DATE('設定'!$B$3,12,31),"",(DATE('設定'!$B$3,1,1)+MOD(8-WEEKDAY(DATE('設定'!$B$3,1,1),2),7))+48*7)</f>
        <v/>
      </c>
      <c r="BE13" s="20">
        <f>IF(((DATE('設定'!$B$3,1,1)+MOD(8-WEEKDAY(DATE('設定'!$B$3,1,1),2),7))+49*7)&gt;DATE('設定'!$B$3,12,31),"",(DATE('設定'!$B$3,1,1)+MOD(8-WEEKDAY(DATE('設定'!$B$3,1,1),2),7))+49*7)</f>
        <v/>
      </c>
      <c r="BF13" s="20">
        <f>IF(((DATE('設定'!$B$3,1,1)+MOD(8-WEEKDAY(DATE('設定'!$B$3,1,1),2),7))+50*7)&gt;DATE('設定'!$B$3,12,31),"",(DATE('設定'!$B$3,1,1)+MOD(8-WEEKDAY(DATE('設定'!$B$3,1,1),2),7))+50*7)</f>
        <v/>
      </c>
      <c r="BG13" s="20">
        <f>IF(((DATE('設定'!$B$3,1,1)+MOD(8-WEEKDAY(DATE('設定'!$B$3,1,1),2),7))+51*7)&gt;DATE('設定'!$B$3,12,31),"",(DATE('設定'!$B$3,1,1)+MOD(8-WEEKDAY(DATE('設定'!$B$3,1,1),2),7))+51*7)</f>
        <v/>
      </c>
      <c r="BH13" s="20">
        <f>IF(((DATE('設定'!$B$3,1,1)+MOD(8-WEEKDAY(DATE('設定'!$B$3,1,1),2),7))+52*7)&gt;DATE('設定'!$B$3,12,31),"",(DATE('設定'!$B$3,1,1)+MOD(8-WEEKDAY(DATE('設定'!$B$3,1,1),2),7))+52*7)</f>
        <v/>
      </c>
    </row>
    <row r="14" ht="22" customHeight="1">
      <c r="A14" s="21">
        <f>'設定'!B9</f>
        <v/>
      </c>
      <c r="B14" s="22">
        <f>IF(A14="","",COUNTIF(H14:BH14,"AL"))</f>
        <v/>
      </c>
      <c r="C14" s="22">
        <f>IF(A14="","",'設定'!$B$5-B14)</f>
        <v/>
      </c>
      <c r="D14" s="23">
        <f>IF(A14="","",COUNTIF(H14:BH14,"SL"))</f>
        <v/>
      </c>
      <c r="E14" s="22">
        <f>IF(A14="","",F14+G14)</f>
        <v/>
      </c>
      <c r="F14" s="24" t="n">
        <v>0</v>
      </c>
      <c r="G14" s="23">
        <f>IF(A14="","",SUMPRODUCT(((H14:BH14="A")+(H14:BH14="P")+(H14:BH14="N")+(H14:BH14="S"))*(H$21:BH$21)))</f>
        <v/>
      </c>
      <c r="H14" s="25">
        <f>IF(H$13="","",IF('設定'!$B$9="","",IF('請假登錄'!B5&lt;&gt;"",'請假登錄'!B5,IF('設定'!$C$9="S","S",IF('設定'!$C$9="R",IF(MOD(INT((H$13-'設定'!$B$4)/7)+IF('設定'!$D$9="",0,'設定'!$D$9),16)&lt;4,"A",IF(MOD(INT((H$13-'設定'!$B$4)/7)+IF('設定'!$D$9="",0,'設定'!$D$9),16)&lt;8,"P",IF(MOD(INT((H$13-'設定'!$B$4)/7)+IF('設定'!$D$9="",0,'設定'!$D$9),16)&lt;12,"N","P"))),"")))))</f>
        <v/>
      </c>
      <c r="I14" s="25">
        <f>IF(I$13="","",IF('設定'!$B$9="","",IF('請假登錄'!C5&lt;&gt;"",'請假登錄'!C5,IF('設定'!$C$9="S","S",IF('設定'!$C$9="R",IF(MOD(INT((I$13-'設定'!$B$4)/7)+IF('設定'!$D$9="",0,'設定'!$D$9),16)&lt;4,"A",IF(MOD(INT((I$13-'設定'!$B$4)/7)+IF('設定'!$D$9="",0,'設定'!$D$9),16)&lt;8,"P",IF(MOD(INT((I$13-'設定'!$B$4)/7)+IF('設定'!$D$9="",0,'設定'!$D$9),16)&lt;12,"N","P"))),"")))))</f>
        <v/>
      </c>
      <c r="J14" s="25">
        <f>IF(J$13="","",IF('設定'!$B$9="","",IF('請假登錄'!D5&lt;&gt;"",'請假登錄'!D5,IF('設定'!$C$9="S","S",IF('設定'!$C$9="R",IF(MOD(INT((J$13-'設定'!$B$4)/7)+IF('設定'!$D$9="",0,'設定'!$D$9),16)&lt;4,"A",IF(MOD(INT((J$13-'設定'!$B$4)/7)+IF('設定'!$D$9="",0,'設定'!$D$9),16)&lt;8,"P",IF(MOD(INT((J$13-'設定'!$B$4)/7)+IF('設定'!$D$9="",0,'設定'!$D$9),16)&lt;12,"N","P"))),"")))))</f>
        <v/>
      </c>
      <c r="K14" s="25">
        <f>IF(K$13="","",IF('設定'!$B$9="","",IF('請假登錄'!E5&lt;&gt;"",'請假登錄'!E5,IF('設定'!$C$9="S","S",IF('設定'!$C$9="R",IF(MOD(INT((K$13-'設定'!$B$4)/7)+IF('設定'!$D$9="",0,'設定'!$D$9),16)&lt;4,"A",IF(MOD(INT((K$13-'設定'!$B$4)/7)+IF('設定'!$D$9="",0,'設定'!$D$9),16)&lt;8,"P",IF(MOD(INT((K$13-'設定'!$B$4)/7)+IF('設定'!$D$9="",0,'設定'!$D$9),16)&lt;12,"N","P"))),"")))))</f>
        <v/>
      </c>
      <c r="L14" s="25">
        <f>IF(L$13="","",IF('設定'!$B$9="","",IF('請假登錄'!F5&lt;&gt;"",'請假登錄'!F5,IF('設定'!$C$9="S","S",IF('設定'!$C$9="R",IF(MOD(INT((L$13-'設定'!$B$4)/7)+IF('設定'!$D$9="",0,'設定'!$D$9),16)&lt;4,"A",IF(MOD(INT((L$13-'設定'!$B$4)/7)+IF('設定'!$D$9="",0,'設定'!$D$9),16)&lt;8,"P",IF(MOD(INT((L$13-'設定'!$B$4)/7)+IF('設定'!$D$9="",0,'設定'!$D$9),16)&lt;12,"N","P"))),"")))))</f>
        <v/>
      </c>
      <c r="M14" s="25">
        <f>IF(M$13="","",IF('設定'!$B$9="","",IF('請假登錄'!G5&lt;&gt;"",'請假登錄'!G5,IF('設定'!$C$9="S","S",IF('設定'!$C$9="R",IF(MOD(INT((M$13-'設定'!$B$4)/7)+IF('設定'!$D$9="",0,'設定'!$D$9),16)&lt;4,"A",IF(MOD(INT((M$13-'設定'!$B$4)/7)+IF('設定'!$D$9="",0,'設定'!$D$9),16)&lt;8,"P",IF(MOD(INT((M$13-'設定'!$B$4)/7)+IF('設定'!$D$9="",0,'設定'!$D$9),16)&lt;12,"N","P"))),"")))))</f>
        <v/>
      </c>
      <c r="N14" s="25">
        <f>IF(N$13="","",IF('設定'!$B$9="","",IF('請假登錄'!H5&lt;&gt;"",'請假登錄'!H5,IF('設定'!$C$9="S","S",IF('設定'!$C$9="R",IF(MOD(INT((N$13-'設定'!$B$4)/7)+IF('設定'!$D$9="",0,'設定'!$D$9),16)&lt;4,"A",IF(MOD(INT((N$13-'設定'!$B$4)/7)+IF('設定'!$D$9="",0,'設定'!$D$9),16)&lt;8,"P",IF(MOD(INT((N$13-'設定'!$B$4)/7)+IF('設定'!$D$9="",0,'設定'!$D$9),16)&lt;12,"N","P"))),"")))))</f>
        <v/>
      </c>
      <c r="O14" s="25">
        <f>IF(O$13="","",IF('設定'!$B$9="","",IF('請假登錄'!I5&lt;&gt;"",'請假登錄'!I5,IF('設定'!$C$9="S","S",IF('設定'!$C$9="R",IF(MOD(INT((O$13-'設定'!$B$4)/7)+IF('設定'!$D$9="",0,'設定'!$D$9),16)&lt;4,"A",IF(MOD(INT((O$13-'設定'!$B$4)/7)+IF('設定'!$D$9="",0,'設定'!$D$9),16)&lt;8,"P",IF(MOD(INT((O$13-'設定'!$B$4)/7)+IF('設定'!$D$9="",0,'設定'!$D$9),16)&lt;12,"N","P"))),"")))))</f>
        <v/>
      </c>
      <c r="P14" s="25">
        <f>IF(P$13="","",IF('設定'!$B$9="","",IF('請假登錄'!J5&lt;&gt;"",'請假登錄'!J5,IF('設定'!$C$9="S","S",IF('設定'!$C$9="R",IF(MOD(INT((P$13-'設定'!$B$4)/7)+IF('設定'!$D$9="",0,'設定'!$D$9),16)&lt;4,"A",IF(MOD(INT((P$13-'設定'!$B$4)/7)+IF('設定'!$D$9="",0,'設定'!$D$9),16)&lt;8,"P",IF(MOD(INT((P$13-'設定'!$B$4)/7)+IF('設定'!$D$9="",0,'設定'!$D$9),16)&lt;12,"N","P"))),"")))))</f>
        <v/>
      </c>
      <c r="Q14" s="25">
        <f>IF(Q$13="","",IF('設定'!$B$9="","",IF('請假登錄'!K5&lt;&gt;"",'請假登錄'!K5,IF('設定'!$C$9="S","S",IF('設定'!$C$9="R",IF(MOD(INT((Q$13-'設定'!$B$4)/7)+IF('設定'!$D$9="",0,'設定'!$D$9),16)&lt;4,"A",IF(MOD(INT((Q$13-'設定'!$B$4)/7)+IF('設定'!$D$9="",0,'設定'!$D$9),16)&lt;8,"P",IF(MOD(INT((Q$13-'設定'!$B$4)/7)+IF('設定'!$D$9="",0,'設定'!$D$9),16)&lt;12,"N","P"))),"")))))</f>
        <v/>
      </c>
      <c r="R14" s="25">
        <f>IF(R$13="","",IF('設定'!$B$9="","",IF('請假登錄'!L5&lt;&gt;"",'請假登錄'!L5,IF('設定'!$C$9="S","S",IF('設定'!$C$9="R",IF(MOD(INT((R$13-'設定'!$B$4)/7)+IF('設定'!$D$9="",0,'設定'!$D$9),16)&lt;4,"A",IF(MOD(INT((R$13-'設定'!$B$4)/7)+IF('設定'!$D$9="",0,'設定'!$D$9),16)&lt;8,"P",IF(MOD(INT((R$13-'設定'!$B$4)/7)+IF('設定'!$D$9="",0,'設定'!$D$9),16)&lt;12,"N","P"))),"")))))</f>
        <v/>
      </c>
      <c r="S14" s="25">
        <f>IF(S$13="","",IF('設定'!$B$9="","",IF('請假登錄'!M5&lt;&gt;"",'請假登錄'!M5,IF('設定'!$C$9="S","S",IF('設定'!$C$9="R",IF(MOD(INT((S$13-'設定'!$B$4)/7)+IF('設定'!$D$9="",0,'設定'!$D$9),16)&lt;4,"A",IF(MOD(INT((S$13-'設定'!$B$4)/7)+IF('設定'!$D$9="",0,'設定'!$D$9),16)&lt;8,"P",IF(MOD(INT((S$13-'設定'!$B$4)/7)+IF('設定'!$D$9="",0,'設定'!$D$9),16)&lt;12,"N","P"))),"")))))</f>
        <v/>
      </c>
      <c r="T14" s="25">
        <f>IF(T$13="","",IF('設定'!$B$9="","",IF('請假登錄'!N5&lt;&gt;"",'請假登錄'!N5,IF('設定'!$C$9="S","S",IF('設定'!$C$9="R",IF(MOD(INT((T$13-'設定'!$B$4)/7)+IF('設定'!$D$9="",0,'設定'!$D$9),16)&lt;4,"A",IF(MOD(INT((T$13-'設定'!$B$4)/7)+IF('設定'!$D$9="",0,'設定'!$D$9),16)&lt;8,"P",IF(MOD(INT((T$13-'設定'!$B$4)/7)+IF('設定'!$D$9="",0,'設定'!$D$9),16)&lt;12,"N","P"))),"")))))</f>
        <v/>
      </c>
      <c r="U14" s="25">
        <f>IF(U$13="","",IF('設定'!$B$9="","",IF('請假登錄'!O5&lt;&gt;"",'請假登錄'!O5,IF('設定'!$C$9="S","S",IF('設定'!$C$9="R",IF(MOD(INT((U$13-'設定'!$B$4)/7)+IF('設定'!$D$9="",0,'設定'!$D$9),16)&lt;4,"A",IF(MOD(INT((U$13-'設定'!$B$4)/7)+IF('設定'!$D$9="",0,'設定'!$D$9),16)&lt;8,"P",IF(MOD(INT((U$13-'設定'!$B$4)/7)+IF('設定'!$D$9="",0,'設定'!$D$9),16)&lt;12,"N","P"))),"")))))</f>
        <v/>
      </c>
      <c r="V14" s="25">
        <f>IF(V$13="","",IF('設定'!$B$9="","",IF('請假登錄'!P5&lt;&gt;"",'請假登錄'!P5,IF('設定'!$C$9="S","S",IF('設定'!$C$9="R",IF(MOD(INT((V$13-'設定'!$B$4)/7)+IF('設定'!$D$9="",0,'設定'!$D$9),16)&lt;4,"A",IF(MOD(INT((V$13-'設定'!$B$4)/7)+IF('設定'!$D$9="",0,'設定'!$D$9),16)&lt;8,"P",IF(MOD(INT((V$13-'設定'!$B$4)/7)+IF('設定'!$D$9="",0,'設定'!$D$9),16)&lt;12,"N","P"))),"")))))</f>
        <v/>
      </c>
      <c r="W14" s="25">
        <f>IF(W$13="","",IF('設定'!$B$9="","",IF('請假登錄'!Q5&lt;&gt;"",'請假登錄'!Q5,IF('設定'!$C$9="S","S",IF('設定'!$C$9="R",IF(MOD(INT((W$13-'設定'!$B$4)/7)+IF('設定'!$D$9="",0,'設定'!$D$9),16)&lt;4,"A",IF(MOD(INT((W$13-'設定'!$B$4)/7)+IF('設定'!$D$9="",0,'設定'!$D$9),16)&lt;8,"P",IF(MOD(INT((W$13-'設定'!$B$4)/7)+IF('設定'!$D$9="",0,'設定'!$D$9),16)&lt;12,"N","P"))),"")))))</f>
        <v/>
      </c>
      <c r="X14" s="25">
        <f>IF(X$13="","",IF('設定'!$B$9="","",IF('請假登錄'!R5&lt;&gt;"",'請假登錄'!R5,IF('設定'!$C$9="S","S",IF('設定'!$C$9="R",IF(MOD(INT((X$13-'設定'!$B$4)/7)+IF('設定'!$D$9="",0,'設定'!$D$9),16)&lt;4,"A",IF(MOD(INT((X$13-'設定'!$B$4)/7)+IF('設定'!$D$9="",0,'設定'!$D$9),16)&lt;8,"P",IF(MOD(INT((X$13-'設定'!$B$4)/7)+IF('設定'!$D$9="",0,'設定'!$D$9),16)&lt;12,"N","P"))),"")))))</f>
        <v/>
      </c>
      <c r="Y14" s="25">
        <f>IF(Y$13="","",IF('設定'!$B$9="","",IF('請假登錄'!S5&lt;&gt;"",'請假登錄'!S5,IF('設定'!$C$9="S","S",IF('設定'!$C$9="R",IF(MOD(INT((Y$13-'設定'!$B$4)/7)+IF('設定'!$D$9="",0,'設定'!$D$9),16)&lt;4,"A",IF(MOD(INT((Y$13-'設定'!$B$4)/7)+IF('設定'!$D$9="",0,'設定'!$D$9),16)&lt;8,"P",IF(MOD(INT((Y$13-'設定'!$B$4)/7)+IF('設定'!$D$9="",0,'設定'!$D$9),16)&lt;12,"N","P"))),"")))))</f>
        <v/>
      </c>
      <c r="Z14" s="25">
        <f>IF(Z$13="","",IF('設定'!$B$9="","",IF('請假登錄'!T5&lt;&gt;"",'請假登錄'!T5,IF('設定'!$C$9="S","S",IF('設定'!$C$9="R",IF(MOD(INT((Z$13-'設定'!$B$4)/7)+IF('設定'!$D$9="",0,'設定'!$D$9),16)&lt;4,"A",IF(MOD(INT((Z$13-'設定'!$B$4)/7)+IF('設定'!$D$9="",0,'設定'!$D$9),16)&lt;8,"P",IF(MOD(INT((Z$13-'設定'!$B$4)/7)+IF('設定'!$D$9="",0,'設定'!$D$9),16)&lt;12,"N","P"))),"")))))</f>
        <v/>
      </c>
      <c r="AA14" s="25">
        <f>IF(AA$13="","",IF('設定'!$B$9="","",IF('請假登錄'!U5&lt;&gt;"",'請假登錄'!U5,IF('設定'!$C$9="S","S",IF('設定'!$C$9="R",IF(MOD(INT((AA$13-'設定'!$B$4)/7)+IF('設定'!$D$9="",0,'設定'!$D$9),16)&lt;4,"A",IF(MOD(INT((AA$13-'設定'!$B$4)/7)+IF('設定'!$D$9="",0,'設定'!$D$9),16)&lt;8,"P",IF(MOD(INT((AA$13-'設定'!$B$4)/7)+IF('設定'!$D$9="",0,'設定'!$D$9),16)&lt;12,"N","P"))),"")))))</f>
        <v/>
      </c>
      <c r="AB14" s="25">
        <f>IF(AB$13="","",IF('設定'!$B$9="","",IF('請假登錄'!V5&lt;&gt;"",'請假登錄'!V5,IF('設定'!$C$9="S","S",IF('設定'!$C$9="R",IF(MOD(INT((AB$13-'設定'!$B$4)/7)+IF('設定'!$D$9="",0,'設定'!$D$9),16)&lt;4,"A",IF(MOD(INT((AB$13-'設定'!$B$4)/7)+IF('設定'!$D$9="",0,'設定'!$D$9),16)&lt;8,"P",IF(MOD(INT((AB$13-'設定'!$B$4)/7)+IF('設定'!$D$9="",0,'設定'!$D$9),16)&lt;12,"N","P"))),"")))))</f>
        <v/>
      </c>
      <c r="AC14" s="25">
        <f>IF(AC$13="","",IF('設定'!$B$9="","",IF('請假登錄'!W5&lt;&gt;"",'請假登錄'!W5,IF('設定'!$C$9="S","S",IF('設定'!$C$9="R",IF(MOD(INT((AC$13-'設定'!$B$4)/7)+IF('設定'!$D$9="",0,'設定'!$D$9),16)&lt;4,"A",IF(MOD(INT((AC$13-'設定'!$B$4)/7)+IF('設定'!$D$9="",0,'設定'!$D$9),16)&lt;8,"P",IF(MOD(INT((AC$13-'設定'!$B$4)/7)+IF('設定'!$D$9="",0,'設定'!$D$9),16)&lt;12,"N","P"))),"")))))</f>
        <v/>
      </c>
      <c r="AD14" s="25">
        <f>IF(AD$13="","",IF('設定'!$B$9="","",IF('請假登錄'!X5&lt;&gt;"",'請假登錄'!X5,IF('設定'!$C$9="S","S",IF('設定'!$C$9="R",IF(MOD(INT((AD$13-'設定'!$B$4)/7)+IF('設定'!$D$9="",0,'設定'!$D$9),16)&lt;4,"A",IF(MOD(INT((AD$13-'設定'!$B$4)/7)+IF('設定'!$D$9="",0,'設定'!$D$9),16)&lt;8,"P",IF(MOD(INT((AD$13-'設定'!$B$4)/7)+IF('設定'!$D$9="",0,'設定'!$D$9),16)&lt;12,"N","P"))),"")))))</f>
        <v/>
      </c>
      <c r="AE14" s="25">
        <f>IF(AE$13="","",IF('設定'!$B$9="","",IF('請假登錄'!Y5&lt;&gt;"",'請假登錄'!Y5,IF('設定'!$C$9="S","S",IF('設定'!$C$9="R",IF(MOD(INT((AE$13-'設定'!$B$4)/7)+IF('設定'!$D$9="",0,'設定'!$D$9),16)&lt;4,"A",IF(MOD(INT((AE$13-'設定'!$B$4)/7)+IF('設定'!$D$9="",0,'設定'!$D$9),16)&lt;8,"P",IF(MOD(INT((AE$13-'設定'!$B$4)/7)+IF('設定'!$D$9="",0,'設定'!$D$9),16)&lt;12,"N","P"))),"")))))</f>
        <v/>
      </c>
      <c r="AF14" s="25">
        <f>IF(AF$13="","",IF('設定'!$B$9="","",IF('請假登錄'!Z5&lt;&gt;"",'請假登錄'!Z5,IF('設定'!$C$9="S","S",IF('設定'!$C$9="R",IF(MOD(INT((AF$13-'設定'!$B$4)/7)+IF('設定'!$D$9="",0,'設定'!$D$9),16)&lt;4,"A",IF(MOD(INT((AF$13-'設定'!$B$4)/7)+IF('設定'!$D$9="",0,'設定'!$D$9),16)&lt;8,"P",IF(MOD(INT((AF$13-'設定'!$B$4)/7)+IF('設定'!$D$9="",0,'設定'!$D$9),16)&lt;12,"N","P"))),"")))))</f>
        <v/>
      </c>
      <c r="AG14" s="25">
        <f>IF(AG$13="","",IF('設定'!$B$9="","",IF('請假登錄'!AA5&lt;&gt;"",'請假登錄'!AA5,IF('設定'!$C$9="S","S",IF('設定'!$C$9="R",IF(MOD(INT((AG$13-'設定'!$B$4)/7)+IF('設定'!$D$9="",0,'設定'!$D$9),16)&lt;4,"A",IF(MOD(INT((AG$13-'設定'!$B$4)/7)+IF('設定'!$D$9="",0,'設定'!$D$9),16)&lt;8,"P",IF(MOD(INT((AG$13-'設定'!$B$4)/7)+IF('設定'!$D$9="",0,'設定'!$D$9),16)&lt;12,"N","P"))),"")))))</f>
        <v/>
      </c>
      <c r="AH14" s="25">
        <f>IF(AH$13="","",IF('設定'!$B$9="","",IF('請假登錄'!AB5&lt;&gt;"",'請假登錄'!AB5,IF('設定'!$C$9="S","S",IF('設定'!$C$9="R",IF(MOD(INT((AH$13-'設定'!$B$4)/7)+IF('設定'!$D$9="",0,'設定'!$D$9),16)&lt;4,"A",IF(MOD(INT((AH$13-'設定'!$B$4)/7)+IF('設定'!$D$9="",0,'設定'!$D$9),16)&lt;8,"P",IF(MOD(INT((AH$13-'設定'!$B$4)/7)+IF('設定'!$D$9="",0,'設定'!$D$9),16)&lt;12,"N","P"))),"")))))</f>
        <v/>
      </c>
      <c r="AI14" s="25">
        <f>IF(AI$13="","",IF('設定'!$B$9="","",IF('請假登錄'!AC5&lt;&gt;"",'請假登錄'!AC5,IF('設定'!$C$9="S","S",IF('設定'!$C$9="R",IF(MOD(INT((AI$13-'設定'!$B$4)/7)+IF('設定'!$D$9="",0,'設定'!$D$9),16)&lt;4,"A",IF(MOD(INT((AI$13-'設定'!$B$4)/7)+IF('設定'!$D$9="",0,'設定'!$D$9),16)&lt;8,"P",IF(MOD(INT((AI$13-'設定'!$B$4)/7)+IF('設定'!$D$9="",0,'設定'!$D$9),16)&lt;12,"N","P"))),"")))))</f>
        <v/>
      </c>
      <c r="AJ14" s="25">
        <f>IF(AJ$13="","",IF('設定'!$B$9="","",IF('請假登錄'!AD5&lt;&gt;"",'請假登錄'!AD5,IF('設定'!$C$9="S","S",IF('設定'!$C$9="R",IF(MOD(INT((AJ$13-'設定'!$B$4)/7)+IF('設定'!$D$9="",0,'設定'!$D$9),16)&lt;4,"A",IF(MOD(INT((AJ$13-'設定'!$B$4)/7)+IF('設定'!$D$9="",0,'設定'!$D$9),16)&lt;8,"P",IF(MOD(INT((AJ$13-'設定'!$B$4)/7)+IF('設定'!$D$9="",0,'設定'!$D$9),16)&lt;12,"N","P"))),"")))))</f>
        <v/>
      </c>
      <c r="AK14" s="25">
        <f>IF(AK$13="","",IF('設定'!$B$9="","",IF('請假登錄'!AE5&lt;&gt;"",'請假登錄'!AE5,IF('設定'!$C$9="S","S",IF('設定'!$C$9="R",IF(MOD(INT((AK$13-'設定'!$B$4)/7)+IF('設定'!$D$9="",0,'設定'!$D$9),16)&lt;4,"A",IF(MOD(INT((AK$13-'設定'!$B$4)/7)+IF('設定'!$D$9="",0,'設定'!$D$9),16)&lt;8,"P",IF(MOD(INT((AK$13-'設定'!$B$4)/7)+IF('設定'!$D$9="",0,'設定'!$D$9),16)&lt;12,"N","P"))),"")))))</f>
        <v/>
      </c>
      <c r="AL14" s="25">
        <f>IF(AL$13="","",IF('設定'!$B$9="","",IF('請假登錄'!AF5&lt;&gt;"",'請假登錄'!AF5,IF('設定'!$C$9="S","S",IF('設定'!$C$9="R",IF(MOD(INT((AL$13-'設定'!$B$4)/7)+IF('設定'!$D$9="",0,'設定'!$D$9),16)&lt;4,"A",IF(MOD(INT((AL$13-'設定'!$B$4)/7)+IF('設定'!$D$9="",0,'設定'!$D$9),16)&lt;8,"P",IF(MOD(INT((AL$13-'設定'!$B$4)/7)+IF('設定'!$D$9="",0,'設定'!$D$9),16)&lt;12,"N","P"))),"")))))</f>
        <v/>
      </c>
      <c r="AM14" s="25">
        <f>IF(AM$13="","",IF('設定'!$B$9="","",IF('請假登錄'!AG5&lt;&gt;"",'請假登錄'!AG5,IF('設定'!$C$9="S","S",IF('設定'!$C$9="R",IF(MOD(INT((AM$13-'設定'!$B$4)/7)+IF('設定'!$D$9="",0,'設定'!$D$9),16)&lt;4,"A",IF(MOD(INT((AM$13-'設定'!$B$4)/7)+IF('設定'!$D$9="",0,'設定'!$D$9),16)&lt;8,"P",IF(MOD(INT((AM$13-'設定'!$B$4)/7)+IF('設定'!$D$9="",0,'設定'!$D$9),16)&lt;12,"N","P"))),"")))))</f>
        <v/>
      </c>
      <c r="AN14" s="25">
        <f>IF(AN$13="","",IF('設定'!$B$9="","",IF('請假登錄'!AH5&lt;&gt;"",'請假登錄'!AH5,IF('設定'!$C$9="S","S",IF('設定'!$C$9="R",IF(MOD(INT((AN$13-'設定'!$B$4)/7)+IF('設定'!$D$9="",0,'設定'!$D$9),16)&lt;4,"A",IF(MOD(INT((AN$13-'設定'!$B$4)/7)+IF('設定'!$D$9="",0,'設定'!$D$9),16)&lt;8,"P",IF(MOD(INT((AN$13-'設定'!$B$4)/7)+IF('設定'!$D$9="",0,'設定'!$D$9),16)&lt;12,"N","P"))),"")))))</f>
        <v/>
      </c>
      <c r="AO14" s="25">
        <f>IF(AO$13="","",IF('設定'!$B$9="","",IF('請假登錄'!AI5&lt;&gt;"",'請假登錄'!AI5,IF('設定'!$C$9="S","S",IF('設定'!$C$9="R",IF(MOD(INT((AO$13-'設定'!$B$4)/7)+IF('設定'!$D$9="",0,'設定'!$D$9),16)&lt;4,"A",IF(MOD(INT((AO$13-'設定'!$B$4)/7)+IF('設定'!$D$9="",0,'設定'!$D$9),16)&lt;8,"P",IF(MOD(INT((AO$13-'設定'!$B$4)/7)+IF('設定'!$D$9="",0,'設定'!$D$9),16)&lt;12,"N","P"))),"")))))</f>
        <v/>
      </c>
      <c r="AP14" s="25">
        <f>IF(AP$13="","",IF('設定'!$B$9="","",IF('請假登錄'!AJ5&lt;&gt;"",'請假登錄'!AJ5,IF('設定'!$C$9="S","S",IF('設定'!$C$9="R",IF(MOD(INT((AP$13-'設定'!$B$4)/7)+IF('設定'!$D$9="",0,'設定'!$D$9),16)&lt;4,"A",IF(MOD(INT((AP$13-'設定'!$B$4)/7)+IF('設定'!$D$9="",0,'設定'!$D$9),16)&lt;8,"P",IF(MOD(INT((AP$13-'設定'!$B$4)/7)+IF('設定'!$D$9="",0,'設定'!$D$9),16)&lt;12,"N","P"))),"")))))</f>
        <v/>
      </c>
      <c r="AQ14" s="25">
        <f>IF(AQ$13="","",IF('設定'!$B$9="","",IF('請假登錄'!AK5&lt;&gt;"",'請假登錄'!AK5,IF('設定'!$C$9="S","S",IF('設定'!$C$9="R",IF(MOD(INT((AQ$13-'設定'!$B$4)/7)+IF('設定'!$D$9="",0,'設定'!$D$9),16)&lt;4,"A",IF(MOD(INT((AQ$13-'設定'!$B$4)/7)+IF('設定'!$D$9="",0,'設定'!$D$9),16)&lt;8,"P",IF(MOD(INT((AQ$13-'設定'!$B$4)/7)+IF('設定'!$D$9="",0,'設定'!$D$9),16)&lt;12,"N","P"))),"")))))</f>
        <v/>
      </c>
      <c r="AR14" s="25">
        <f>IF(AR$13="","",IF('設定'!$B$9="","",IF('請假登錄'!AL5&lt;&gt;"",'請假登錄'!AL5,IF('設定'!$C$9="S","S",IF('設定'!$C$9="R",IF(MOD(INT((AR$13-'設定'!$B$4)/7)+IF('設定'!$D$9="",0,'設定'!$D$9),16)&lt;4,"A",IF(MOD(INT((AR$13-'設定'!$B$4)/7)+IF('設定'!$D$9="",0,'設定'!$D$9),16)&lt;8,"P",IF(MOD(INT((AR$13-'設定'!$B$4)/7)+IF('設定'!$D$9="",0,'設定'!$D$9),16)&lt;12,"N","P"))),"")))))</f>
        <v/>
      </c>
      <c r="AS14" s="25">
        <f>IF(AS$13="","",IF('設定'!$B$9="","",IF('請假登錄'!AM5&lt;&gt;"",'請假登錄'!AM5,IF('設定'!$C$9="S","S",IF('設定'!$C$9="R",IF(MOD(INT((AS$13-'設定'!$B$4)/7)+IF('設定'!$D$9="",0,'設定'!$D$9),16)&lt;4,"A",IF(MOD(INT((AS$13-'設定'!$B$4)/7)+IF('設定'!$D$9="",0,'設定'!$D$9),16)&lt;8,"P",IF(MOD(INT((AS$13-'設定'!$B$4)/7)+IF('設定'!$D$9="",0,'設定'!$D$9),16)&lt;12,"N","P"))),"")))))</f>
        <v/>
      </c>
      <c r="AT14" s="25">
        <f>IF(AT$13="","",IF('設定'!$B$9="","",IF('請假登錄'!AN5&lt;&gt;"",'請假登錄'!AN5,IF('設定'!$C$9="S","S",IF('設定'!$C$9="R",IF(MOD(INT((AT$13-'設定'!$B$4)/7)+IF('設定'!$D$9="",0,'設定'!$D$9),16)&lt;4,"A",IF(MOD(INT((AT$13-'設定'!$B$4)/7)+IF('設定'!$D$9="",0,'設定'!$D$9),16)&lt;8,"P",IF(MOD(INT((AT$13-'設定'!$B$4)/7)+IF('設定'!$D$9="",0,'設定'!$D$9),16)&lt;12,"N","P"))),"")))))</f>
        <v/>
      </c>
      <c r="AU14" s="25">
        <f>IF(AU$13="","",IF('設定'!$B$9="","",IF('請假登錄'!AO5&lt;&gt;"",'請假登錄'!AO5,IF('設定'!$C$9="S","S",IF('設定'!$C$9="R",IF(MOD(INT((AU$13-'設定'!$B$4)/7)+IF('設定'!$D$9="",0,'設定'!$D$9),16)&lt;4,"A",IF(MOD(INT((AU$13-'設定'!$B$4)/7)+IF('設定'!$D$9="",0,'設定'!$D$9),16)&lt;8,"P",IF(MOD(INT((AU$13-'設定'!$B$4)/7)+IF('設定'!$D$9="",0,'設定'!$D$9),16)&lt;12,"N","P"))),"")))))</f>
        <v/>
      </c>
      <c r="AV14" s="25">
        <f>IF(AV$13="","",IF('設定'!$B$9="","",IF('請假登錄'!AP5&lt;&gt;"",'請假登錄'!AP5,IF('設定'!$C$9="S","S",IF('設定'!$C$9="R",IF(MOD(INT((AV$13-'設定'!$B$4)/7)+IF('設定'!$D$9="",0,'設定'!$D$9),16)&lt;4,"A",IF(MOD(INT((AV$13-'設定'!$B$4)/7)+IF('設定'!$D$9="",0,'設定'!$D$9),16)&lt;8,"P",IF(MOD(INT((AV$13-'設定'!$B$4)/7)+IF('設定'!$D$9="",0,'設定'!$D$9),16)&lt;12,"N","P"))),"")))))</f>
        <v/>
      </c>
      <c r="AW14" s="25">
        <f>IF(AW$13="","",IF('設定'!$B$9="","",IF('請假登錄'!AQ5&lt;&gt;"",'請假登錄'!AQ5,IF('設定'!$C$9="S","S",IF('設定'!$C$9="R",IF(MOD(INT((AW$13-'設定'!$B$4)/7)+IF('設定'!$D$9="",0,'設定'!$D$9),16)&lt;4,"A",IF(MOD(INT((AW$13-'設定'!$B$4)/7)+IF('設定'!$D$9="",0,'設定'!$D$9),16)&lt;8,"P",IF(MOD(INT((AW$13-'設定'!$B$4)/7)+IF('設定'!$D$9="",0,'設定'!$D$9),16)&lt;12,"N","P"))),"")))))</f>
        <v/>
      </c>
      <c r="AX14" s="25">
        <f>IF(AX$13="","",IF('設定'!$B$9="","",IF('請假登錄'!AR5&lt;&gt;"",'請假登錄'!AR5,IF('設定'!$C$9="S","S",IF('設定'!$C$9="R",IF(MOD(INT((AX$13-'設定'!$B$4)/7)+IF('設定'!$D$9="",0,'設定'!$D$9),16)&lt;4,"A",IF(MOD(INT((AX$13-'設定'!$B$4)/7)+IF('設定'!$D$9="",0,'設定'!$D$9),16)&lt;8,"P",IF(MOD(INT((AX$13-'設定'!$B$4)/7)+IF('設定'!$D$9="",0,'設定'!$D$9),16)&lt;12,"N","P"))),"")))))</f>
        <v/>
      </c>
      <c r="AY14" s="25">
        <f>IF(AY$13="","",IF('設定'!$B$9="","",IF('請假登錄'!AS5&lt;&gt;"",'請假登錄'!AS5,IF('設定'!$C$9="S","S",IF('設定'!$C$9="R",IF(MOD(INT((AY$13-'設定'!$B$4)/7)+IF('設定'!$D$9="",0,'設定'!$D$9),16)&lt;4,"A",IF(MOD(INT((AY$13-'設定'!$B$4)/7)+IF('設定'!$D$9="",0,'設定'!$D$9),16)&lt;8,"P",IF(MOD(INT((AY$13-'設定'!$B$4)/7)+IF('設定'!$D$9="",0,'設定'!$D$9),16)&lt;12,"N","P"))),"")))))</f>
        <v/>
      </c>
      <c r="AZ14" s="25">
        <f>IF(AZ$13="","",IF('設定'!$B$9="","",IF('請假登錄'!AT5&lt;&gt;"",'請假登錄'!AT5,IF('設定'!$C$9="S","S",IF('設定'!$C$9="R",IF(MOD(INT((AZ$13-'設定'!$B$4)/7)+IF('設定'!$D$9="",0,'設定'!$D$9),16)&lt;4,"A",IF(MOD(INT((AZ$13-'設定'!$B$4)/7)+IF('設定'!$D$9="",0,'設定'!$D$9),16)&lt;8,"P",IF(MOD(INT((AZ$13-'設定'!$B$4)/7)+IF('設定'!$D$9="",0,'設定'!$D$9),16)&lt;12,"N","P"))),"")))))</f>
        <v/>
      </c>
      <c r="BA14" s="25">
        <f>IF(BA$13="","",IF('設定'!$B$9="","",IF('請假登錄'!AU5&lt;&gt;"",'請假登錄'!AU5,IF('設定'!$C$9="S","S",IF('設定'!$C$9="R",IF(MOD(INT((BA$13-'設定'!$B$4)/7)+IF('設定'!$D$9="",0,'設定'!$D$9),16)&lt;4,"A",IF(MOD(INT((BA$13-'設定'!$B$4)/7)+IF('設定'!$D$9="",0,'設定'!$D$9),16)&lt;8,"P",IF(MOD(INT((BA$13-'設定'!$B$4)/7)+IF('設定'!$D$9="",0,'設定'!$D$9),16)&lt;12,"N","P"))),"")))))</f>
        <v/>
      </c>
      <c r="BB14" s="25">
        <f>IF(BB$13="","",IF('設定'!$B$9="","",IF('請假登錄'!AV5&lt;&gt;"",'請假登錄'!AV5,IF('設定'!$C$9="S","S",IF('設定'!$C$9="R",IF(MOD(INT((BB$13-'設定'!$B$4)/7)+IF('設定'!$D$9="",0,'設定'!$D$9),16)&lt;4,"A",IF(MOD(INT((BB$13-'設定'!$B$4)/7)+IF('設定'!$D$9="",0,'設定'!$D$9),16)&lt;8,"P",IF(MOD(INT((BB$13-'設定'!$B$4)/7)+IF('設定'!$D$9="",0,'設定'!$D$9),16)&lt;12,"N","P"))),"")))))</f>
        <v/>
      </c>
      <c r="BC14" s="25">
        <f>IF(BC$13="","",IF('設定'!$B$9="","",IF('請假登錄'!AW5&lt;&gt;"",'請假登錄'!AW5,IF('設定'!$C$9="S","S",IF('設定'!$C$9="R",IF(MOD(INT((BC$13-'設定'!$B$4)/7)+IF('設定'!$D$9="",0,'設定'!$D$9),16)&lt;4,"A",IF(MOD(INT((BC$13-'設定'!$B$4)/7)+IF('設定'!$D$9="",0,'設定'!$D$9),16)&lt;8,"P",IF(MOD(INT((BC$13-'設定'!$B$4)/7)+IF('設定'!$D$9="",0,'設定'!$D$9),16)&lt;12,"N","P"))),"")))))</f>
        <v/>
      </c>
      <c r="BD14" s="25">
        <f>IF(BD$13="","",IF('設定'!$B$9="","",IF('請假登錄'!AX5&lt;&gt;"",'請假登錄'!AX5,IF('設定'!$C$9="S","S",IF('設定'!$C$9="R",IF(MOD(INT((BD$13-'設定'!$B$4)/7)+IF('設定'!$D$9="",0,'設定'!$D$9),16)&lt;4,"A",IF(MOD(INT((BD$13-'設定'!$B$4)/7)+IF('設定'!$D$9="",0,'設定'!$D$9),16)&lt;8,"P",IF(MOD(INT((BD$13-'設定'!$B$4)/7)+IF('設定'!$D$9="",0,'設定'!$D$9),16)&lt;12,"N","P"))),"")))))</f>
        <v/>
      </c>
      <c r="BE14" s="25">
        <f>IF(BE$13="","",IF('設定'!$B$9="","",IF('請假登錄'!AY5&lt;&gt;"",'請假登錄'!AY5,IF('設定'!$C$9="S","S",IF('設定'!$C$9="R",IF(MOD(INT((BE$13-'設定'!$B$4)/7)+IF('設定'!$D$9="",0,'設定'!$D$9),16)&lt;4,"A",IF(MOD(INT((BE$13-'設定'!$B$4)/7)+IF('設定'!$D$9="",0,'設定'!$D$9),16)&lt;8,"P",IF(MOD(INT((BE$13-'設定'!$B$4)/7)+IF('設定'!$D$9="",0,'設定'!$D$9),16)&lt;12,"N","P"))),"")))))</f>
        <v/>
      </c>
      <c r="BF14" s="25">
        <f>IF(BF$13="","",IF('設定'!$B$9="","",IF('請假登錄'!AZ5&lt;&gt;"",'請假登錄'!AZ5,IF('設定'!$C$9="S","S",IF('設定'!$C$9="R",IF(MOD(INT((BF$13-'設定'!$B$4)/7)+IF('設定'!$D$9="",0,'設定'!$D$9),16)&lt;4,"A",IF(MOD(INT((BF$13-'設定'!$B$4)/7)+IF('設定'!$D$9="",0,'設定'!$D$9),16)&lt;8,"P",IF(MOD(INT((BF$13-'設定'!$B$4)/7)+IF('設定'!$D$9="",0,'設定'!$D$9),16)&lt;12,"N","P"))),"")))))</f>
        <v/>
      </c>
      <c r="BG14" s="25">
        <f>IF(BG$13="","",IF('設定'!$B$9="","",IF('請假登錄'!BA5&lt;&gt;"",'請假登錄'!BA5,IF('設定'!$C$9="S","S",IF('設定'!$C$9="R",IF(MOD(INT((BG$13-'設定'!$B$4)/7)+IF('設定'!$D$9="",0,'設定'!$D$9),16)&lt;4,"A",IF(MOD(INT((BG$13-'設定'!$B$4)/7)+IF('設定'!$D$9="",0,'設定'!$D$9),16)&lt;8,"P",IF(MOD(INT((BG$13-'設定'!$B$4)/7)+IF('設定'!$D$9="",0,'設定'!$D$9),16)&lt;12,"N","P"))),"")))))</f>
        <v/>
      </c>
      <c r="BH14" s="25">
        <f>IF(BH$13="","",IF('設定'!$B$9="","",IF('請假登錄'!BB5&lt;&gt;"",'請假登錄'!BB5,IF('設定'!$C$9="S","S",IF('設定'!$C$9="R",IF(MOD(INT((BH$13-'設定'!$B$4)/7)+IF('設定'!$D$9="",0,'設定'!$D$9),16)&lt;4,"A",IF(MOD(INT((BH$13-'設定'!$B$4)/7)+IF('設定'!$D$9="",0,'設定'!$D$9),16)&lt;8,"P",IF(MOD(INT((BH$13-'設定'!$B$4)/7)+IF('設定'!$D$9="",0,'設定'!$D$9),16)&lt;12,"N","P"))),"")))))</f>
        <v/>
      </c>
    </row>
    <row r="15" ht="22" customHeight="1">
      <c r="A15" s="21">
        <f>'設定'!B10</f>
        <v/>
      </c>
      <c r="B15" s="23">
        <f>IF(A15="","",COUNTIF(H15:BH15,"AL"))</f>
        <v/>
      </c>
      <c r="C15" s="23">
        <f>IF(A15="","",'設定'!$B$5-B15)</f>
        <v/>
      </c>
      <c r="D15" s="23">
        <f>IF(A15="","",COUNTIF(H15:BH15,"SL"))</f>
        <v/>
      </c>
      <c r="E15" s="22">
        <f>IF(A15="","",F15+G15)</f>
        <v/>
      </c>
      <c r="F15" s="24" t="n">
        <v>0</v>
      </c>
      <c r="G15" s="23">
        <f>IF(A15="","",SUMPRODUCT(((H15:BH15="A")+(H15:BH15="P")+(H15:BH15="N")+(H15:BH15="S"))*(H$21:BH$21)))</f>
        <v/>
      </c>
      <c r="H15" s="25">
        <f>IF(H$13="","",IF('設定'!$B$10="","",IF('請假登錄'!B6&lt;&gt;"",'請假登錄'!B6,IF('設定'!$C$10="S","S",IF('設定'!$C$10="R",IF(MOD(INT((H$13-'設定'!$B$4)/7)+IF('設定'!$D$10="",0,'設定'!$D$10),16)&lt;4,"A",IF(MOD(INT((H$13-'設定'!$B$4)/7)+IF('設定'!$D$10="",0,'設定'!$D$10),16)&lt;8,"P",IF(MOD(INT((H$13-'設定'!$B$4)/7)+IF('設定'!$D$10="",0,'設定'!$D$10),16)&lt;12,"N","P"))),"")))))</f>
        <v/>
      </c>
      <c r="I15" s="25">
        <f>IF(I$13="","",IF('設定'!$B$10="","",IF('請假登錄'!C6&lt;&gt;"",'請假登錄'!C6,IF('設定'!$C$10="S","S",IF('設定'!$C$10="R",IF(MOD(INT((I$13-'設定'!$B$4)/7)+IF('設定'!$D$10="",0,'設定'!$D$10),16)&lt;4,"A",IF(MOD(INT((I$13-'設定'!$B$4)/7)+IF('設定'!$D$10="",0,'設定'!$D$10),16)&lt;8,"P",IF(MOD(INT((I$13-'設定'!$B$4)/7)+IF('設定'!$D$10="",0,'設定'!$D$10),16)&lt;12,"N","P"))),"")))))</f>
        <v/>
      </c>
      <c r="J15" s="25">
        <f>IF(J$13="","",IF('設定'!$B$10="","",IF('請假登錄'!D6&lt;&gt;"",'請假登錄'!D6,IF('設定'!$C$10="S","S",IF('設定'!$C$10="R",IF(MOD(INT((J$13-'設定'!$B$4)/7)+IF('設定'!$D$10="",0,'設定'!$D$10),16)&lt;4,"A",IF(MOD(INT((J$13-'設定'!$B$4)/7)+IF('設定'!$D$10="",0,'設定'!$D$10),16)&lt;8,"P",IF(MOD(INT((J$13-'設定'!$B$4)/7)+IF('設定'!$D$10="",0,'設定'!$D$10),16)&lt;12,"N","P"))),"")))))</f>
        <v/>
      </c>
      <c r="K15" s="25">
        <f>IF(K$13="","",IF('設定'!$B$10="","",IF('請假登錄'!E6&lt;&gt;"",'請假登錄'!E6,IF('設定'!$C$10="S","S",IF('設定'!$C$10="R",IF(MOD(INT((K$13-'設定'!$B$4)/7)+IF('設定'!$D$10="",0,'設定'!$D$10),16)&lt;4,"A",IF(MOD(INT((K$13-'設定'!$B$4)/7)+IF('設定'!$D$10="",0,'設定'!$D$10),16)&lt;8,"P",IF(MOD(INT((K$13-'設定'!$B$4)/7)+IF('設定'!$D$10="",0,'設定'!$D$10),16)&lt;12,"N","P"))),"")))))</f>
        <v/>
      </c>
      <c r="L15" s="25">
        <f>IF(L$13="","",IF('設定'!$B$10="","",IF('請假登錄'!F6&lt;&gt;"",'請假登錄'!F6,IF('設定'!$C$10="S","S",IF('設定'!$C$10="R",IF(MOD(INT((L$13-'設定'!$B$4)/7)+IF('設定'!$D$10="",0,'設定'!$D$10),16)&lt;4,"A",IF(MOD(INT((L$13-'設定'!$B$4)/7)+IF('設定'!$D$10="",0,'設定'!$D$10),16)&lt;8,"P",IF(MOD(INT((L$13-'設定'!$B$4)/7)+IF('設定'!$D$10="",0,'設定'!$D$10),16)&lt;12,"N","P"))),"")))))</f>
        <v/>
      </c>
      <c r="M15" s="25">
        <f>IF(M$13="","",IF('設定'!$B$10="","",IF('請假登錄'!G6&lt;&gt;"",'請假登錄'!G6,IF('設定'!$C$10="S","S",IF('設定'!$C$10="R",IF(MOD(INT((M$13-'設定'!$B$4)/7)+IF('設定'!$D$10="",0,'設定'!$D$10),16)&lt;4,"A",IF(MOD(INT((M$13-'設定'!$B$4)/7)+IF('設定'!$D$10="",0,'設定'!$D$10),16)&lt;8,"P",IF(MOD(INT((M$13-'設定'!$B$4)/7)+IF('設定'!$D$10="",0,'設定'!$D$10),16)&lt;12,"N","P"))),"")))))</f>
        <v/>
      </c>
      <c r="N15" s="25">
        <f>IF(N$13="","",IF('設定'!$B$10="","",IF('請假登錄'!H6&lt;&gt;"",'請假登錄'!H6,IF('設定'!$C$10="S","S",IF('設定'!$C$10="R",IF(MOD(INT((N$13-'設定'!$B$4)/7)+IF('設定'!$D$10="",0,'設定'!$D$10),16)&lt;4,"A",IF(MOD(INT((N$13-'設定'!$B$4)/7)+IF('設定'!$D$10="",0,'設定'!$D$10),16)&lt;8,"P",IF(MOD(INT((N$13-'設定'!$B$4)/7)+IF('設定'!$D$10="",0,'設定'!$D$10),16)&lt;12,"N","P"))),"")))))</f>
        <v/>
      </c>
      <c r="O15" s="25">
        <f>IF(O$13="","",IF('設定'!$B$10="","",IF('請假登錄'!I6&lt;&gt;"",'請假登錄'!I6,IF('設定'!$C$10="S","S",IF('設定'!$C$10="R",IF(MOD(INT((O$13-'設定'!$B$4)/7)+IF('設定'!$D$10="",0,'設定'!$D$10),16)&lt;4,"A",IF(MOD(INT((O$13-'設定'!$B$4)/7)+IF('設定'!$D$10="",0,'設定'!$D$10),16)&lt;8,"P",IF(MOD(INT((O$13-'設定'!$B$4)/7)+IF('設定'!$D$10="",0,'設定'!$D$10),16)&lt;12,"N","P"))),"")))))</f>
        <v/>
      </c>
      <c r="P15" s="25">
        <f>IF(P$13="","",IF('設定'!$B$10="","",IF('請假登錄'!J6&lt;&gt;"",'請假登錄'!J6,IF('設定'!$C$10="S","S",IF('設定'!$C$10="R",IF(MOD(INT((P$13-'設定'!$B$4)/7)+IF('設定'!$D$10="",0,'設定'!$D$10),16)&lt;4,"A",IF(MOD(INT((P$13-'設定'!$B$4)/7)+IF('設定'!$D$10="",0,'設定'!$D$10),16)&lt;8,"P",IF(MOD(INT((P$13-'設定'!$B$4)/7)+IF('設定'!$D$10="",0,'設定'!$D$10),16)&lt;12,"N","P"))),"")))))</f>
        <v/>
      </c>
      <c r="Q15" s="25">
        <f>IF(Q$13="","",IF('設定'!$B$10="","",IF('請假登錄'!K6&lt;&gt;"",'請假登錄'!K6,IF('設定'!$C$10="S","S",IF('設定'!$C$10="R",IF(MOD(INT((Q$13-'設定'!$B$4)/7)+IF('設定'!$D$10="",0,'設定'!$D$10),16)&lt;4,"A",IF(MOD(INT((Q$13-'設定'!$B$4)/7)+IF('設定'!$D$10="",0,'設定'!$D$10),16)&lt;8,"P",IF(MOD(INT((Q$13-'設定'!$B$4)/7)+IF('設定'!$D$10="",0,'設定'!$D$10),16)&lt;12,"N","P"))),"")))))</f>
        <v/>
      </c>
      <c r="R15" s="25">
        <f>IF(R$13="","",IF('設定'!$B$10="","",IF('請假登錄'!L6&lt;&gt;"",'請假登錄'!L6,IF('設定'!$C$10="S","S",IF('設定'!$C$10="R",IF(MOD(INT((R$13-'設定'!$B$4)/7)+IF('設定'!$D$10="",0,'設定'!$D$10),16)&lt;4,"A",IF(MOD(INT((R$13-'設定'!$B$4)/7)+IF('設定'!$D$10="",0,'設定'!$D$10),16)&lt;8,"P",IF(MOD(INT((R$13-'設定'!$B$4)/7)+IF('設定'!$D$10="",0,'設定'!$D$10),16)&lt;12,"N","P"))),"")))))</f>
        <v/>
      </c>
      <c r="S15" s="25">
        <f>IF(S$13="","",IF('設定'!$B$10="","",IF('請假登錄'!M6&lt;&gt;"",'請假登錄'!M6,IF('設定'!$C$10="S","S",IF('設定'!$C$10="R",IF(MOD(INT((S$13-'設定'!$B$4)/7)+IF('設定'!$D$10="",0,'設定'!$D$10),16)&lt;4,"A",IF(MOD(INT((S$13-'設定'!$B$4)/7)+IF('設定'!$D$10="",0,'設定'!$D$10),16)&lt;8,"P",IF(MOD(INT((S$13-'設定'!$B$4)/7)+IF('設定'!$D$10="",0,'設定'!$D$10),16)&lt;12,"N","P"))),"")))))</f>
        <v/>
      </c>
      <c r="T15" s="25">
        <f>IF(T$13="","",IF('設定'!$B$10="","",IF('請假登錄'!N6&lt;&gt;"",'請假登錄'!N6,IF('設定'!$C$10="S","S",IF('設定'!$C$10="R",IF(MOD(INT((T$13-'設定'!$B$4)/7)+IF('設定'!$D$10="",0,'設定'!$D$10),16)&lt;4,"A",IF(MOD(INT((T$13-'設定'!$B$4)/7)+IF('設定'!$D$10="",0,'設定'!$D$10),16)&lt;8,"P",IF(MOD(INT((T$13-'設定'!$B$4)/7)+IF('設定'!$D$10="",0,'設定'!$D$10),16)&lt;12,"N","P"))),"")))))</f>
        <v/>
      </c>
      <c r="U15" s="25">
        <f>IF(U$13="","",IF('設定'!$B$10="","",IF('請假登錄'!O6&lt;&gt;"",'請假登錄'!O6,IF('設定'!$C$10="S","S",IF('設定'!$C$10="R",IF(MOD(INT((U$13-'設定'!$B$4)/7)+IF('設定'!$D$10="",0,'設定'!$D$10),16)&lt;4,"A",IF(MOD(INT((U$13-'設定'!$B$4)/7)+IF('設定'!$D$10="",0,'設定'!$D$10),16)&lt;8,"P",IF(MOD(INT((U$13-'設定'!$B$4)/7)+IF('設定'!$D$10="",0,'設定'!$D$10),16)&lt;12,"N","P"))),"")))))</f>
        <v/>
      </c>
      <c r="V15" s="25">
        <f>IF(V$13="","",IF('設定'!$B$10="","",IF('請假登錄'!P6&lt;&gt;"",'請假登錄'!P6,IF('設定'!$C$10="S","S",IF('設定'!$C$10="R",IF(MOD(INT((V$13-'設定'!$B$4)/7)+IF('設定'!$D$10="",0,'設定'!$D$10),16)&lt;4,"A",IF(MOD(INT((V$13-'設定'!$B$4)/7)+IF('設定'!$D$10="",0,'設定'!$D$10),16)&lt;8,"P",IF(MOD(INT((V$13-'設定'!$B$4)/7)+IF('設定'!$D$10="",0,'設定'!$D$10),16)&lt;12,"N","P"))),"")))))</f>
        <v/>
      </c>
      <c r="W15" s="25">
        <f>IF(W$13="","",IF('設定'!$B$10="","",IF('請假登錄'!Q6&lt;&gt;"",'請假登錄'!Q6,IF('設定'!$C$10="S","S",IF('設定'!$C$10="R",IF(MOD(INT((W$13-'設定'!$B$4)/7)+IF('設定'!$D$10="",0,'設定'!$D$10),16)&lt;4,"A",IF(MOD(INT((W$13-'設定'!$B$4)/7)+IF('設定'!$D$10="",0,'設定'!$D$10),16)&lt;8,"P",IF(MOD(INT((W$13-'設定'!$B$4)/7)+IF('設定'!$D$10="",0,'設定'!$D$10),16)&lt;12,"N","P"))),"")))))</f>
        <v/>
      </c>
      <c r="X15" s="25">
        <f>IF(X$13="","",IF('設定'!$B$10="","",IF('請假登錄'!R6&lt;&gt;"",'請假登錄'!R6,IF('設定'!$C$10="S","S",IF('設定'!$C$10="R",IF(MOD(INT((X$13-'設定'!$B$4)/7)+IF('設定'!$D$10="",0,'設定'!$D$10),16)&lt;4,"A",IF(MOD(INT((X$13-'設定'!$B$4)/7)+IF('設定'!$D$10="",0,'設定'!$D$10),16)&lt;8,"P",IF(MOD(INT((X$13-'設定'!$B$4)/7)+IF('設定'!$D$10="",0,'設定'!$D$10),16)&lt;12,"N","P"))),"")))))</f>
        <v/>
      </c>
      <c r="Y15" s="25">
        <f>IF(Y$13="","",IF('設定'!$B$10="","",IF('請假登錄'!S6&lt;&gt;"",'請假登錄'!S6,IF('設定'!$C$10="S","S",IF('設定'!$C$10="R",IF(MOD(INT((Y$13-'設定'!$B$4)/7)+IF('設定'!$D$10="",0,'設定'!$D$10),16)&lt;4,"A",IF(MOD(INT((Y$13-'設定'!$B$4)/7)+IF('設定'!$D$10="",0,'設定'!$D$10),16)&lt;8,"P",IF(MOD(INT((Y$13-'設定'!$B$4)/7)+IF('設定'!$D$10="",0,'設定'!$D$10),16)&lt;12,"N","P"))),"")))))</f>
        <v/>
      </c>
      <c r="Z15" s="25">
        <f>IF(Z$13="","",IF('設定'!$B$10="","",IF('請假登錄'!T6&lt;&gt;"",'請假登錄'!T6,IF('設定'!$C$10="S","S",IF('設定'!$C$10="R",IF(MOD(INT((Z$13-'設定'!$B$4)/7)+IF('設定'!$D$10="",0,'設定'!$D$10),16)&lt;4,"A",IF(MOD(INT((Z$13-'設定'!$B$4)/7)+IF('設定'!$D$10="",0,'設定'!$D$10),16)&lt;8,"P",IF(MOD(INT((Z$13-'設定'!$B$4)/7)+IF('設定'!$D$10="",0,'設定'!$D$10),16)&lt;12,"N","P"))),"")))))</f>
        <v/>
      </c>
      <c r="AA15" s="25">
        <f>IF(AA$13="","",IF('設定'!$B$10="","",IF('請假登錄'!U6&lt;&gt;"",'請假登錄'!U6,IF('設定'!$C$10="S","S",IF('設定'!$C$10="R",IF(MOD(INT((AA$13-'設定'!$B$4)/7)+IF('設定'!$D$10="",0,'設定'!$D$10),16)&lt;4,"A",IF(MOD(INT((AA$13-'設定'!$B$4)/7)+IF('設定'!$D$10="",0,'設定'!$D$10),16)&lt;8,"P",IF(MOD(INT((AA$13-'設定'!$B$4)/7)+IF('設定'!$D$10="",0,'設定'!$D$10),16)&lt;12,"N","P"))),"")))))</f>
        <v/>
      </c>
      <c r="AB15" s="25">
        <f>IF(AB$13="","",IF('設定'!$B$10="","",IF('請假登錄'!V6&lt;&gt;"",'請假登錄'!V6,IF('設定'!$C$10="S","S",IF('設定'!$C$10="R",IF(MOD(INT((AB$13-'設定'!$B$4)/7)+IF('設定'!$D$10="",0,'設定'!$D$10),16)&lt;4,"A",IF(MOD(INT((AB$13-'設定'!$B$4)/7)+IF('設定'!$D$10="",0,'設定'!$D$10),16)&lt;8,"P",IF(MOD(INT((AB$13-'設定'!$B$4)/7)+IF('設定'!$D$10="",0,'設定'!$D$10),16)&lt;12,"N","P"))),"")))))</f>
        <v/>
      </c>
      <c r="AC15" s="25">
        <f>IF(AC$13="","",IF('設定'!$B$10="","",IF('請假登錄'!W6&lt;&gt;"",'請假登錄'!W6,IF('設定'!$C$10="S","S",IF('設定'!$C$10="R",IF(MOD(INT((AC$13-'設定'!$B$4)/7)+IF('設定'!$D$10="",0,'設定'!$D$10),16)&lt;4,"A",IF(MOD(INT((AC$13-'設定'!$B$4)/7)+IF('設定'!$D$10="",0,'設定'!$D$10),16)&lt;8,"P",IF(MOD(INT((AC$13-'設定'!$B$4)/7)+IF('設定'!$D$10="",0,'設定'!$D$10),16)&lt;12,"N","P"))),"")))))</f>
        <v/>
      </c>
      <c r="AD15" s="25">
        <f>IF(AD$13="","",IF('設定'!$B$10="","",IF('請假登錄'!X6&lt;&gt;"",'請假登錄'!X6,IF('設定'!$C$10="S","S",IF('設定'!$C$10="R",IF(MOD(INT((AD$13-'設定'!$B$4)/7)+IF('設定'!$D$10="",0,'設定'!$D$10),16)&lt;4,"A",IF(MOD(INT((AD$13-'設定'!$B$4)/7)+IF('設定'!$D$10="",0,'設定'!$D$10),16)&lt;8,"P",IF(MOD(INT((AD$13-'設定'!$B$4)/7)+IF('設定'!$D$10="",0,'設定'!$D$10),16)&lt;12,"N","P"))),"")))))</f>
        <v/>
      </c>
      <c r="AE15" s="25">
        <f>IF(AE$13="","",IF('設定'!$B$10="","",IF('請假登錄'!Y6&lt;&gt;"",'請假登錄'!Y6,IF('設定'!$C$10="S","S",IF('設定'!$C$10="R",IF(MOD(INT((AE$13-'設定'!$B$4)/7)+IF('設定'!$D$10="",0,'設定'!$D$10),16)&lt;4,"A",IF(MOD(INT((AE$13-'設定'!$B$4)/7)+IF('設定'!$D$10="",0,'設定'!$D$10),16)&lt;8,"P",IF(MOD(INT((AE$13-'設定'!$B$4)/7)+IF('設定'!$D$10="",0,'設定'!$D$10),16)&lt;12,"N","P"))),"")))))</f>
        <v/>
      </c>
      <c r="AF15" s="25">
        <f>IF(AF$13="","",IF('設定'!$B$10="","",IF('請假登錄'!Z6&lt;&gt;"",'請假登錄'!Z6,IF('設定'!$C$10="S","S",IF('設定'!$C$10="R",IF(MOD(INT((AF$13-'設定'!$B$4)/7)+IF('設定'!$D$10="",0,'設定'!$D$10),16)&lt;4,"A",IF(MOD(INT((AF$13-'設定'!$B$4)/7)+IF('設定'!$D$10="",0,'設定'!$D$10),16)&lt;8,"P",IF(MOD(INT((AF$13-'設定'!$B$4)/7)+IF('設定'!$D$10="",0,'設定'!$D$10),16)&lt;12,"N","P"))),"")))))</f>
        <v/>
      </c>
      <c r="AG15" s="25">
        <f>IF(AG$13="","",IF('設定'!$B$10="","",IF('請假登錄'!AA6&lt;&gt;"",'請假登錄'!AA6,IF('設定'!$C$10="S","S",IF('設定'!$C$10="R",IF(MOD(INT((AG$13-'設定'!$B$4)/7)+IF('設定'!$D$10="",0,'設定'!$D$10),16)&lt;4,"A",IF(MOD(INT((AG$13-'設定'!$B$4)/7)+IF('設定'!$D$10="",0,'設定'!$D$10),16)&lt;8,"P",IF(MOD(INT((AG$13-'設定'!$B$4)/7)+IF('設定'!$D$10="",0,'設定'!$D$10),16)&lt;12,"N","P"))),"")))))</f>
        <v/>
      </c>
      <c r="AH15" s="25">
        <f>IF(AH$13="","",IF('設定'!$B$10="","",IF('請假登錄'!AB6&lt;&gt;"",'請假登錄'!AB6,IF('設定'!$C$10="S","S",IF('設定'!$C$10="R",IF(MOD(INT((AH$13-'設定'!$B$4)/7)+IF('設定'!$D$10="",0,'設定'!$D$10),16)&lt;4,"A",IF(MOD(INT((AH$13-'設定'!$B$4)/7)+IF('設定'!$D$10="",0,'設定'!$D$10),16)&lt;8,"P",IF(MOD(INT((AH$13-'設定'!$B$4)/7)+IF('設定'!$D$10="",0,'設定'!$D$10),16)&lt;12,"N","P"))),"")))))</f>
        <v/>
      </c>
      <c r="AI15" s="25">
        <f>IF(AI$13="","",IF('設定'!$B$10="","",IF('請假登錄'!AC6&lt;&gt;"",'請假登錄'!AC6,IF('設定'!$C$10="S","S",IF('設定'!$C$10="R",IF(MOD(INT((AI$13-'設定'!$B$4)/7)+IF('設定'!$D$10="",0,'設定'!$D$10),16)&lt;4,"A",IF(MOD(INT((AI$13-'設定'!$B$4)/7)+IF('設定'!$D$10="",0,'設定'!$D$10),16)&lt;8,"P",IF(MOD(INT((AI$13-'設定'!$B$4)/7)+IF('設定'!$D$10="",0,'設定'!$D$10),16)&lt;12,"N","P"))),"")))))</f>
        <v/>
      </c>
      <c r="AJ15" s="25">
        <f>IF(AJ$13="","",IF('設定'!$B$10="","",IF('請假登錄'!AD6&lt;&gt;"",'請假登錄'!AD6,IF('設定'!$C$10="S","S",IF('設定'!$C$10="R",IF(MOD(INT((AJ$13-'設定'!$B$4)/7)+IF('設定'!$D$10="",0,'設定'!$D$10),16)&lt;4,"A",IF(MOD(INT((AJ$13-'設定'!$B$4)/7)+IF('設定'!$D$10="",0,'設定'!$D$10),16)&lt;8,"P",IF(MOD(INT((AJ$13-'設定'!$B$4)/7)+IF('設定'!$D$10="",0,'設定'!$D$10),16)&lt;12,"N","P"))),"")))))</f>
        <v/>
      </c>
      <c r="AK15" s="25">
        <f>IF(AK$13="","",IF('設定'!$B$10="","",IF('請假登錄'!AE6&lt;&gt;"",'請假登錄'!AE6,IF('設定'!$C$10="S","S",IF('設定'!$C$10="R",IF(MOD(INT((AK$13-'設定'!$B$4)/7)+IF('設定'!$D$10="",0,'設定'!$D$10),16)&lt;4,"A",IF(MOD(INT((AK$13-'設定'!$B$4)/7)+IF('設定'!$D$10="",0,'設定'!$D$10),16)&lt;8,"P",IF(MOD(INT((AK$13-'設定'!$B$4)/7)+IF('設定'!$D$10="",0,'設定'!$D$10),16)&lt;12,"N","P"))),"")))))</f>
        <v/>
      </c>
      <c r="AL15" s="25">
        <f>IF(AL$13="","",IF('設定'!$B$10="","",IF('請假登錄'!AF6&lt;&gt;"",'請假登錄'!AF6,IF('設定'!$C$10="S","S",IF('設定'!$C$10="R",IF(MOD(INT((AL$13-'設定'!$B$4)/7)+IF('設定'!$D$10="",0,'設定'!$D$10),16)&lt;4,"A",IF(MOD(INT((AL$13-'設定'!$B$4)/7)+IF('設定'!$D$10="",0,'設定'!$D$10),16)&lt;8,"P",IF(MOD(INT((AL$13-'設定'!$B$4)/7)+IF('設定'!$D$10="",0,'設定'!$D$10),16)&lt;12,"N","P"))),"")))))</f>
        <v/>
      </c>
      <c r="AM15" s="25">
        <f>IF(AM$13="","",IF('設定'!$B$10="","",IF('請假登錄'!AG6&lt;&gt;"",'請假登錄'!AG6,IF('設定'!$C$10="S","S",IF('設定'!$C$10="R",IF(MOD(INT((AM$13-'設定'!$B$4)/7)+IF('設定'!$D$10="",0,'設定'!$D$10),16)&lt;4,"A",IF(MOD(INT((AM$13-'設定'!$B$4)/7)+IF('設定'!$D$10="",0,'設定'!$D$10),16)&lt;8,"P",IF(MOD(INT((AM$13-'設定'!$B$4)/7)+IF('設定'!$D$10="",0,'設定'!$D$10),16)&lt;12,"N","P"))),"")))))</f>
        <v/>
      </c>
      <c r="AN15" s="25">
        <f>IF(AN$13="","",IF('設定'!$B$10="","",IF('請假登錄'!AH6&lt;&gt;"",'請假登錄'!AH6,IF('設定'!$C$10="S","S",IF('設定'!$C$10="R",IF(MOD(INT((AN$13-'設定'!$B$4)/7)+IF('設定'!$D$10="",0,'設定'!$D$10),16)&lt;4,"A",IF(MOD(INT((AN$13-'設定'!$B$4)/7)+IF('設定'!$D$10="",0,'設定'!$D$10),16)&lt;8,"P",IF(MOD(INT((AN$13-'設定'!$B$4)/7)+IF('設定'!$D$10="",0,'設定'!$D$10),16)&lt;12,"N","P"))),"")))))</f>
        <v/>
      </c>
      <c r="AO15" s="25">
        <f>IF(AO$13="","",IF('設定'!$B$10="","",IF('請假登錄'!AI6&lt;&gt;"",'請假登錄'!AI6,IF('設定'!$C$10="S","S",IF('設定'!$C$10="R",IF(MOD(INT((AO$13-'設定'!$B$4)/7)+IF('設定'!$D$10="",0,'設定'!$D$10),16)&lt;4,"A",IF(MOD(INT((AO$13-'設定'!$B$4)/7)+IF('設定'!$D$10="",0,'設定'!$D$10),16)&lt;8,"P",IF(MOD(INT((AO$13-'設定'!$B$4)/7)+IF('設定'!$D$10="",0,'設定'!$D$10),16)&lt;12,"N","P"))),"")))))</f>
        <v/>
      </c>
      <c r="AP15" s="25">
        <f>IF(AP$13="","",IF('設定'!$B$10="","",IF('請假登錄'!AJ6&lt;&gt;"",'請假登錄'!AJ6,IF('設定'!$C$10="S","S",IF('設定'!$C$10="R",IF(MOD(INT((AP$13-'設定'!$B$4)/7)+IF('設定'!$D$10="",0,'設定'!$D$10),16)&lt;4,"A",IF(MOD(INT((AP$13-'設定'!$B$4)/7)+IF('設定'!$D$10="",0,'設定'!$D$10),16)&lt;8,"P",IF(MOD(INT((AP$13-'設定'!$B$4)/7)+IF('設定'!$D$10="",0,'設定'!$D$10),16)&lt;12,"N","P"))),"")))))</f>
        <v/>
      </c>
      <c r="AQ15" s="25">
        <f>IF(AQ$13="","",IF('設定'!$B$10="","",IF('請假登錄'!AK6&lt;&gt;"",'請假登錄'!AK6,IF('設定'!$C$10="S","S",IF('設定'!$C$10="R",IF(MOD(INT((AQ$13-'設定'!$B$4)/7)+IF('設定'!$D$10="",0,'設定'!$D$10),16)&lt;4,"A",IF(MOD(INT((AQ$13-'設定'!$B$4)/7)+IF('設定'!$D$10="",0,'設定'!$D$10),16)&lt;8,"P",IF(MOD(INT((AQ$13-'設定'!$B$4)/7)+IF('設定'!$D$10="",0,'設定'!$D$10),16)&lt;12,"N","P"))),"")))))</f>
        <v/>
      </c>
      <c r="AR15" s="25">
        <f>IF(AR$13="","",IF('設定'!$B$10="","",IF('請假登錄'!AL6&lt;&gt;"",'請假登錄'!AL6,IF('設定'!$C$10="S","S",IF('設定'!$C$10="R",IF(MOD(INT((AR$13-'設定'!$B$4)/7)+IF('設定'!$D$10="",0,'設定'!$D$10),16)&lt;4,"A",IF(MOD(INT((AR$13-'設定'!$B$4)/7)+IF('設定'!$D$10="",0,'設定'!$D$10),16)&lt;8,"P",IF(MOD(INT((AR$13-'設定'!$B$4)/7)+IF('設定'!$D$10="",0,'設定'!$D$10),16)&lt;12,"N","P"))),"")))))</f>
        <v/>
      </c>
      <c r="AS15" s="25">
        <f>IF(AS$13="","",IF('設定'!$B$10="","",IF('請假登錄'!AM6&lt;&gt;"",'請假登錄'!AM6,IF('設定'!$C$10="S","S",IF('設定'!$C$10="R",IF(MOD(INT((AS$13-'設定'!$B$4)/7)+IF('設定'!$D$10="",0,'設定'!$D$10),16)&lt;4,"A",IF(MOD(INT((AS$13-'設定'!$B$4)/7)+IF('設定'!$D$10="",0,'設定'!$D$10),16)&lt;8,"P",IF(MOD(INT((AS$13-'設定'!$B$4)/7)+IF('設定'!$D$10="",0,'設定'!$D$10),16)&lt;12,"N","P"))),"")))))</f>
        <v/>
      </c>
      <c r="AT15" s="25">
        <f>IF(AT$13="","",IF('設定'!$B$10="","",IF('請假登錄'!AN6&lt;&gt;"",'請假登錄'!AN6,IF('設定'!$C$10="S","S",IF('設定'!$C$10="R",IF(MOD(INT((AT$13-'設定'!$B$4)/7)+IF('設定'!$D$10="",0,'設定'!$D$10),16)&lt;4,"A",IF(MOD(INT((AT$13-'設定'!$B$4)/7)+IF('設定'!$D$10="",0,'設定'!$D$10),16)&lt;8,"P",IF(MOD(INT((AT$13-'設定'!$B$4)/7)+IF('設定'!$D$10="",0,'設定'!$D$10),16)&lt;12,"N","P"))),"")))))</f>
        <v/>
      </c>
      <c r="AU15" s="25">
        <f>IF(AU$13="","",IF('設定'!$B$10="","",IF('請假登錄'!AO6&lt;&gt;"",'請假登錄'!AO6,IF('設定'!$C$10="S","S",IF('設定'!$C$10="R",IF(MOD(INT((AU$13-'設定'!$B$4)/7)+IF('設定'!$D$10="",0,'設定'!$D$10),16)&lt;4,"A",IF(MOD(INT((AU$13-'設定'!$B$4)/7)+IF('設定'!$D$10="",0,'設定'!$D$10),16)&lt;8,"P",IF(MOD(INT((AU$13-'設定'!$B$4)/7)+IF('設定'!$D$10="",0,'設定'!$D$10),16)&lt;12,"N","P"))),"")))))</f>
        <v/>
      </c>
      <c r="AV15" s="25">
        <f>IF(AV$13="","",IF('設定'!$B$10="","",IF('請假登錄'!AP6&lt;&gt;"",'請假登錄'!AP6,IF('設定'!$C$10="S","S",IF('設定'!$C$10="R",IF(MOD(INT((AV$13-'設定'!$B$4)/7)+IF('設定'!$D$10="",0,'設定'!$D$10),16)&lt;4,"A",IF(MOD(INT((AV$13-'設定'!$B$4)/7)+IF('設定'!$D$10="",0,'設定'!$D$10),16)&lt;8,"P",IF(MOD(INT((AV$13-'設定'!$B$4)/7)+IF('設定'!$D$10="",0,'設定'!$D$10),16)&lt;12,"N","P"))),"")))))</f>
        <v/>
      </c>
      <c r="AW15" s="25">
        <f>IF(AW$13="","",IF('設定'!$B$10="","",IF('請假登錄'!AQ6&lt;&gt;"",'請假登錄'!AQ6,IF('設定'!$C$10="S","S",IF('設定'!$C$10="R",IF(MOD(INT((AW$13-'設定'!$B$4)/7)+IF('設定'!$D$10="",0,'設定'!$D$10),16)&lt;4,"A",IF(MOD(INT((AW$13-'設定'!$B$4)/7)+IF('設定'!$D$10="",0,'設定'!$D$10),16)&lt;8,"P",IF(MOD(INT((AW$13-'設定'!$B$4)/7)+IF('設定'!$D$10="",0,'設定'!$D$10),16)&lt;12,"N","P"))),"")))))</f>
        <v/>
      </c>
      <c r="AX15" s="25">
        <f>IF(AX$13="","",IF('設定'!$B$10="","",IF('請假登錄'!AR6&lt;&gt;"",'請假登錄'!AR6,IF('設定'!$C$10="S","S",IF('設定'!$C$10="R",IF(MOD(INT((AX$13-'設定'!$B$4)/7)+IF('設定'!$D$10="",0,'設定'!$D$10),16)&lt;4,"A",IF(MOD(INT((AX$13-'設定'!$B$4)/7)+IF('設定'!$D$10="",0,'設定'!$D$10),16)&lt;8,"P",IF(MOD(INT((AX$13-'設定'!$B$4)/7)+IF('設定'!$D$10="",0,'設定'!$D$10),16)&lt;12,"N","P"))),"")))))</f>
        <v/>
      </c>
      <c r="AY15" s="25">
        <f>IF(AY$13="","",IF('設定'!$B$10="","",IF('請假登錄'!AS6&lt;&gt;"",'請假登錄'!AS6,IF('設定'!$C$10="S","S",IF('設定'!$C$10="R",IF(MOD(INT((AY$13-'設定'!$B$4)/7)+IF('設定'!$D$10="",0,'設定'!$D$10),16)&lt;4,"A",IF(MOD(INT((AY$13-'設定'!$B$4)/7)+IF('設定'!$D$10="",0,'設定'!$D$10),16)&lt;8,"P",IF(MOD(INT((AY$13-'設定'!$B$4)/7)+IF('設定'!$D$10="",0,'設定'!$D$10),16)&lt;12,"N","P"))),"")))))</f>
        <v/>
      </c>
      <c r="AZ15" s="25">
        <f>IF(AZ$13="","",IF('設定'!$B$10="","",IF('請假登錄'!AT6&lt;&gt;"",'請假登錄'!AT6,IF('設定'!$C$10="S","S",IF('設定'!$C$10="R",IF(MOD(INT((AZ$13-'設定'!$B$4)/7)+IF('設定'!$D$10="",0,'設定'!$D$10),16)&lt;4,"A",IF(MOD(INT((AZ$13-'設定'!$B$4)/7)+IF('設定'!$D$10="",0,'設定'!$D$10),16)&lt;8,"P",IF(MOD(INT((AZ$13-'設定'!$B$4)/7)+IF('設定'!$D$10="",0,'設定'!$D$10),16)&lt;12,"N","P"))),"")))))</f>
        <v/>
      </c>
      <c r="BA15" s="25">
        <f>IF(BA$13="","",IF('設定'!$B$10="","",IF('請假登錄'!AU6&lt;&gt;"",'請假登錄'!AU6,IF('設定'!$C$10="S","S",IF('設定'!$C$10="R",IF(MOD(INT((BA$13-'設定'!$B$4)/7)+IF('設定'!$D$10="",0,'設定'!$D$10),16)&lt;4,"A",IF(MOD(INT((BA$13-'設定'!$B$4)/7)+IF('設定'!$D$10="",0,'設定'!$D$10),16)&lt;8,"P",IF(MOD(INT((BA$13-'設定'!$B$4)/7)+IF('設定'!$D$10="",0,'設定'!$D$10),16)&lt;12,"N","P"))),"")))))</f>
        <v/>
      </c>
      <c r="BB15" s="25">
        <f>IF(BB$13="","",IF('設定'!$B$10="","",IF('請假登錄'!AV6&lt;&gt;"",'請假登錄'!AV6,IF('設定'!$C$10="S","S",IF('設定'!$C$10="R",IF(MOD(INT((BB$13-'設定'!$B$4)/7)+IF('設定'!$D$10="",0,'設定'!$D$10),16)&lt;4,"A",IF(MOD(INT((BB$13-'設定'!$B$4)/7)+IF('設定'!$D$10="",0,'設定'!$D$10),16)&lt;8,"P",IF(MOD(INT((BB$13-'設定'!$B$4)/7)+IF('設定'!$D$10="",0,'設定'!$D$10),16)&lt;12,"N","P"))),"")))))</f>
        <v/>
      </c>
      <c r="BC15" s="25">
        <f>IF(BC$13="","",IF('設定'!$B$10="","",IF('請假登錄'!AW6&lt;&gt;"",'請假登錄'!AW6,IF('設定'!$C$10="S","S",IF('設定'!$C$10="R",IF(MOD(INT((BC$13-'設定'!$B$4)/7)+IF('設定'!$D$10="",0,'設定'!$D$10),16)&lt;4,"A",IF(MOD(INT((BC$13-'設定'!$B$4)/7)+IF('設定'!$D$10="",0,'設定'!$D$10),16)&lt;8,"P",IF(MOD(INT((BC$13-'設定'!$B$4)/7)+IF('設定'!$D$10="",0,'設定'!$D$10),16)&lt;12,"N","P"))),"")))))</f>
        <v/>
      </c>
      <c r="BD15" s="25">
        <f>IF(BD$13="","",IF('設定'!$B$10="","",IF('請假登錄'!AX6&lt;&gt;"",'請假登錄'!AX6,IF('設定'!$C$10="S","S",IF('設定'!$C$10="R",IF(MOD(INT((BD$13-'設定'!$B$4)/7)+IF('設定'!$D$10="",0,'設定'!$D$10),16)&lt;4,"A",IF(MOD(INT((BD$13-'設定'!$B$4)/7)+IF('設定'!$D$10="",0,'設定'!$D$10),16)&lt;8,"P",IF(MOD(INT((BD$13-'設定'!$B$4)/7)+IF('設定'!$D$10="",0,'設定'!$D$10),16)&lt;12,"N","P"))),"")))))</f>
        <v/>
      </c>
      <c r="BE15" s="25">
        <f>IF(BE$13="","",IF('設定'!$B$10="","",IF('請假登錄'!AY6&lt;&gt;"",'請假登錄'!AY6,IF('設定'!$C$10="S","S",IF('設定'!$C$10="R",IF(MOD(INT((BE$13-'設定'!$B$4)/7)+IF('設定'!$D$10="",0,'設定'!$D$10),16)&lt;4,"A",IF(MOD(INT((BE$13-'設定'!$B$4)/7)+IF('設定'!$D$10="",0,'設定'!$D$10),16)&lt;8,"P",IF(MOD(INT((BE$13-'設定'!$B$4)/7)+IF('設定'!$D$10="",0,'設定'!$D$10),16)&lt;12,"N","P"))),"")))))</f>
        <v/>
      </c>
      <c r="BF15" s="25">
        <f>IF(BF$13="","",IF('設定'!$B$10="","",IF('請假登錄'!AZ6&lt;&gt;"",'請假登錄'!AZ6,IF('設定'!$C$10="S","S",IF('設定'!$C$10="R",IF(MOD(INT((BF$13-'設定'!$B$4)/7)+IF('設定'!$D$10="",0,'設定'!$D$10),16)&lt;4,"A",IF(MOD(INT((BF$13-'設定'!$B$4)/7)+IF('設定'!$D$10="",0,'設定'!$D$10),16)&lt;8,"P",IF(MOD(INT((BF$13-'設定'!$B$4)/7)+IF('設定'!$D$10="",0,'設定'!$D$10),16)&lt;12,"N","P"))),"")))))</f>
        <v/>
      </c>
      <c r="BG15" s="25">
        <f>IF(BG$13="","",IF('設定'!$B$10="","",IF('請假登錄'!BA6&lt;&gt;"",'請假登錄'!BA6,IF('設定'!$C$10="S","S",IF('設定'!$C$10="R",IF(MOD(INT((BG$13-'設定'!$B$4)/7)+IF('設定'!$D$10="",0,'設定'!$D$10),16)&lt;4,"A",IF(MOD(INT((BG$13-'設定'!$B$4)/7)+IF('設定'!$D$10="",0,'設定'!$D$10),16)&lt;8,"P",IF(MOD(INT((BG$13-'設定'!$B$4)/7)+IF('設定'!$D$10="",0,'設定'!$D$10),16)&lt;12,"N","P"))),"")))))</f>
        <v/>
      </c>
      <c r="BH15" s="25">
        <f>IF(BH$13="","",IF('設定'!$B$10="","",IF('請假登錄'!BB6&lt;&gt;"",'請假登錄'!BB6,IF('設定'!$C$10="S","S",IF('設定'!$C$10="R",IF(MOD(INT((BH$13-'設定'!$B$4)/7)+IF('設定'!$D$10="",0,'設定'!$D$10),16)&lt;4,"A",IF(MOD(INT((BH$13-'設定'!$B$4)/7)+IF('設定'!$D$10="",0,'設定'!$D$10),16)&lt;8,"P",IF(MOD(INT((BH$13-'設定'!$B$4)/7)+IF('設定'!$D$10="",0,'設定'!$D$10),16)&lt;12,"N","P"))),"")))))</f>
        <v/>
      </c>
    </row>
    <row r="16" ht="22" customHeight="1">
      <c r="A16" s="21">
        <f>'設定'!B11</f>
        <v/>
      </c>
      <c r="B16" s="23">
        <f>IF(A16="","",COUNTIF(H16:BH16,"AL"))</f>
        <v/>
      </c>
      <c r="C16" s="23">
        <f>IF(A16="","",'設定'!$B$5-B16)</f>
        <v/>
      </c>
      <c r="D16" s="23">
        <f>IF(A16="","",COUNTIF(H16:BH16,"SL"))</f>
        <v/>
      </c>
      <c r="E16" s="22">
        <f>IF(A16="","",F16+G16)</f>
        <v/>
      </c>
      <c r="F16" s="24" t="n">
        <v>0</v>
      </c>
      <c r="G16" s="23">
        <f>IF(A16="","",SUMPRODUCT(((H16:BH16="A")+(H16:BH16="P")+(H16:BH16="N")+(H16:BH16="S"))*(H$21:BH$21)))</f>
        <v/>
      </c>
      <c r="H16" s="25">
        <f>IF(H$13="","",IF('設定'!$B$11="","",IF('請假登錄'!B7&lt;&gt;"",'請假登錄'!B7,IF('設定'!$C$11="S","S",IF('設定'!$C$11="R",IF(MOD(INT((H$13-'設定'!$B$4)/7)+IF('設定'!$D$11="",0,'設定'!$D$11),16)&lt;4,"A",IF(MOD(INT((H$13-'設定'!$B$4)/7)+IF('設定'!$D$11="",0,'設定'!$D$11),16)&lt;8,"P",IF(MOD(INT((H$13-'設定'!$B$4)/7)+IF('設定'!$D$11="",0,'設定'!$D$11),16)&lt;12,"N","P"))),"")))))</f>
        <v/>
      </c>
      <c r="I16" s="25">
        <f>IF(I$13="","",IF('設定'!$B$11="","",IF('請假登錄'!C7&lt;&gt;"",'請假登錄'!C7,IF('設定'!$C$11="S","S",IF('設定'!$C$11="R",IF(MOD(INT((I$13-'設定'!$B$4)/7)+IF('設定'!$D$11="",0,'設定'!$D$11),16)&lt;4,"A",IF(MOD(INT((I$13-'設定'!$B$4)/7)+IF('設定'!$D$11="",0,'設定'!$D$11),16)&lt;8,"P",IF(MOD(INT((I$13-'設定'!$B$4)/7)+IF('設定'!$D$11="",0,'設定'!$D$11),16)&lt;12,"N","P"))),"")))))</f>
        <v/>
      </c>
      <c r="J16" s="25">
        <f>IF(J$13="","",IF('設定'!$B$11="","",IF('請假登錄'!D7&lt;&gt;"",'請假登錄'!D7,IF('設定'!$C$11="S","S",IF('設定'!$C$11="R",IF(MOD(INT((J$13-'設定'!$B$4)/7)+IF('設定'!$D$11="",0,'設定'!$D$11),16)&lt;4,"A",IF(MOD(INT((J$13-'設定'!$B$4)/7)+IF('設定'!$D$11="",0,'設定'!$D$11),16)&lt;8,"P",IF(MOD(INT((J$13-'設定'!$B$4)/7)+IF('設定'!$D$11="",0,'設定'!$D$11),16)&lt;12,"N","P"))),"")))))</f>
        <v/>
      </c>
      <c r="K16" s="25">
        <f>IF(K$13="","",IF('設定'!$B$11="","",IF('請假登錄'!E7&lt;&gt;"",'請假登錄'!E7,IF('設定'!$C$11="S","S",IF('設定'!$C$11="R",IF(MOD(INT((K$13-'設定'!$B$4)/7)+IF('設定'!$D$11="",0,'設定'!$D$11),16)&lt;4,"A",IF(MOD(INT((K$13-'設定'!$B$4)/7)+IF('設定'!$D$11="",0,'設定'!$D$11),16)&lt;8,"P",IF(MOD(INT((K$13-'設定'!$B$4)/7)+IF('設定'!$D$11="",0,'設定'!$D$11),16)&lt;12,"N","P"))),"")))))</f>
        <v/>
      </c>
      <c r="L16" s="25">
        <f>IF(L$13="","",IF('設定'!$B$11="","",IF('請假登錄'!F7&lt;&gt;"",'請假登錄'!F7,IF('設定'!$C$11="S","S",IF('設定'!$C$11="R",IF(MOD(INT((L$13-'設定'!$B$4)/7)+IF('設定'!$D$11="",0,'設定'!$D$11),16)&lt;4,"A",IF(MOD(INT((L$13-'設定'!$B$4)/7)+IF('設定'!$D$11="",0,'設定'!$D$11),16)&lt;8,"P",IF(MOD(INT((L$13-'設定'!$B$4)/7)+IF('設定'!$D$11="",0,'設定'!$D$11),16)&lt;12,"N","P"))),"")))))</f>
        <v/>
      </c>
      <c r="M16" s="25">
        <f>IF(M$13="","",IF('設定'!$B$11="","",IF('請假登錄'!G7&lt;&gt;"",'請假登錄'!G7,IF('設定'!$C$11="S","S",IF('設定'!$C$11="R",IF(MOD(INT((M$13-'設定'!$B$4)/7)+IF('設定'!$D$11="",0,'設定'!$D$11),16)&lt;4,"A",IF(MOD(INT((M$13-'設定'!$B$4)/7)+IF('設定'!$D$11="",0,'設定'!$D$11),16)&lt;8,"P",IF(MOD(INT((M$13-'設定'!$B$4)/7)+IF('設定'!$D$11="",0,'設定'!$D$11),16)&lt;12,"N","P"))),"")))))</f>
        <v/>
      </c>
      <c r="N16" s="25">
        <f>IF(N$13="","",IF('設定'!$B$11="","",IF('請假登錄'!H7&lt;&gt;"",'請假登錄'!H7,IF('設定'!$C$11="S","S",IF('設定'!$C$11="R",IF(MOD(INT((N$13-'設定'!$B$4)/7)+IF('設定'!$D$11="",0,'設定'!$D$11),16)&lt;4,"A",IF(MOD(INT((N$13-'設定'!$B$4)/7)+IF('設定'!$D$11="",0,'設定'!$D$11),16)&lt;8,"P",IF(MOD(INT((N$13-'設定'!$B$4)/7)+IF('設定'!$D$11="",0,'設定'!$D$11),16)&lt;12,"N","P"))),"")))))</f>
        <v/>
      </c>
      <c r="O16" s="25">
        <f>IF(O$13="","",IF('設定'!$B$11="","",IF('請假登錄'!I7&lt;&gt;"",'請假登錄'!I7,IF('設定'!$C$11="S","S",IF('設定'!$C$11="R",IF(MOD(INT((O$13-'設定'!$B$4)/7)+IF('設定'!$D$11="",0,'設定'!$D$11),16)&lt;4,"A",IF(MOD(INT((O$13-'設定'!$B$4)/7)+IF('設定'!$D$11="",0,'設定'!$D$11),16)&lt;8,"P",IF(MOD(INT((O$13-'設定'!$B$4)/7)+IF('設定'!$D$11="",0,'設定'!$D$11),16)&lt;12,"N","P"))),"")))))</f>
        <v/>
      </c>
      <c r="P16" s="25">
        <f>IF(P$13="","",IF('設定'!$B$11="","",IF('請假登錄'!J7&lt;&gt;"",'請假登錄'!J7,IF('設定'!$C$11="S","S",IF('設定'!$C$11="R",IF(MOD(INT((P$13-'設定'!$B$4)/7)+IF('設定'!$D$11="",0,'設定'!$D$11),16)&lt;4,"A",IF(MOD(INT((P$13-'設定'!$B$4)/7)+IF('設定'!$D$11="",0,'設定'!$D$11),16)&lt;8,"P",IF(MOD(INT((P$13-'設定'!$B$4)/7)+IF('設定'!$D$11="",0,'設定'!$D$11),16)&lt;12,"N","P"))),"")))))</f>
        <v/>
      </c>
      <c r="Q16" s="25">
        <f>IF(Q$13="","",IF('設定'!$B$11="","",IF('請假登錄'!K7&lt;&gt;"",'請假登錄'!K7,IF('設定'!$C$11="S","S",IF('設定'!$C$11="R",IF(MOD(INT((Q$13-'設定'!$B$4)/7)+IF('設定'!$D$11="",0,'設定'!$D$11),16)&lt;4,"A",IF(MOD(INT((Q$13-'設定'!$B$4)/7)+IF('設定'!$D$11="",0,'設定'!$D$11),16)&lt;8,"P",IF(MOD(INT((Q$13-'設定'!$B$4)/7)+IF('設定'!$D$11="",0,'設定'!$D$11),16)&lt;12,"N","P"))),"")))))</f>
        <v/>
      </c>
      <c r="R16" s="25">
        <f>IF(R$13="","",IF('設定'!$B$11="","",IF('請假登錄'!L7&lt;&gt;"",'請假登錄'!L7,IF('設定'!$C$11="S","S",IF('設定'!$C$11="R",IF(MOD(INT((R$13-'設定'!$B$4)/7)+IF('設定'!$D$11="",0,'設定'!$D$11),16)&lt;4,"A",IF(MOD(INT((R$13-'設定'!$B$4)/7)+IF('設定'!$D$11="",0,'設定'!$D$11),16)&lt;8,"P",IF(MOD(INT((R$13-'設定'!$B$4)/7)+IF('設定'!$D$11="",0,'設定'!$D$11),16)&lt;12,"N","P"))),"")))))</f>
        <v/>
      </c>
      <c r="S16" s="25">
        <f>IF(S$13="","",IF('設定'!$B$11="","",IF('請假登錄'!M7&lt;&gt;"",'請假登錄'!M7,IF('設定'!$C$11="S","S",IF('設定'!$C$11="R",IF(MOD(INT((S$13-'設定'!$B$4)/7)+IF('設定'!$D$11="",0,'設定'!$D$11),16)&lt;4,"A",IF(MOD(INT((S$13-'設定'!$B$4)/7)+IF('設定'!$D$11="",0,'設定'!$D$11),16)&lt;8,"P",IF(MOD(INT((S$13-'設定'!$B$4)/7)+IF('設定'!$D$11="",0,'設定'!$D$11),16)&lt;12,"N","P"))),"")))))</f>
        <v/>
      </c>
      <c r="T16" s="25">
        <f>IF(T$13="","",IF('設定'!$B$11="","",IF('請假登錄'!N7&lt;&gt;"",'請假登錄'!N7,IF('設定'!$C$11="S","S",IF('設定'!$C$11="R",IF(MOD(INT((T$13-'設定'!$B$4)/7)+IF('設定'!$D$11="",0,'設定'!$D$11),16)&lt;4,"A",IF(MOD(INT((T$13-'設定'!$B$4)/7)+IF('設定'!$D$11="",0,'設定'!$D$11),16)&lt;8,"P",IF(MOD(INT((T$13-'設定'!$B$4)/7)+IF('設定'!$D$11="",0,'設定'!$D$11),16)&lt;12,"N","P"))),"")))))</f>
        <v/>
      </c>
      <c r="U16" s="25">
        <f>IF(U$13="","",IF('設定'!$B$11="","",IF('請假登錄'!O7&lt;&gt;"",'請假登錄'!O7,IF('設定'!$C$11="S","S",IF('設定'!$C$11="R",IF(MOD(INT((U$13-'設定'!$B$4)/7)+IF('設定'!$D$11="",0,'設定'!$D$11),16)&lt;4,"A",IF(MOD(INT((U$13-'設定'!$B$4)/7)+IF('設定'!$D$11="",0,'設定'!$D$11),16)&lt;8,"P",IF(MOD(INT((U$13-'設定'!$B$4)/7)+IF('設定'!$D$11="",0,'設定'!$D$11),16)&lt;12,"N","P"))),"")))))</f>
        <v/>
      </c>
      <c r="V16" s="25">
        <f>IF(V$13="","",IF('設定'!$B$11="","",IF('請假登錄'!P7&lt;&gt;"",'請假登錄'!P7,IF('設定'!$C$11="S","S",IF('設定'!$C$11="R",IF(MOD(INT((V$13-'設定'!$B$4)/7)+IF('設定'!$D$11="",0,'設定'!$D$11),16)&lt;4,"A",IF(MOD(INT((V$13-'設定'!$B$4)/7)+IF('設定'!$D$11="",0,'設定'!$D$11),16)&lt;8,"P",IF(MOD(INT((V$13-'設定'!$B$4)/7)+IF('設定'!$D$11="",0,'設定'!$D$11),16)&lt;12,"N","P"))),"")))))</f>
        <v/>
      </c>
      <c r="W16" s="25">
        <f>IF(W$13="","",IF('設定'!$B$11="","",IF('請假登錄'!Q7&lt;&gt;"",'請假登錄'!Q7,IF('設定'!$C$11="S","S",IF('設定'!$C$11="R",IF(MOD(INT((W$13-'設定'!$B$4)/7)+IF('設定'!$D$11="",0,'設定'!$D$11),16)&lt;4,"A",IF(MOD(INT((W$13-'設定'!$B$4)/7)+IF('設定'!$D$11="",0,'設定'!$D$11),16)&lt;8,"P",IF(MOD(INT((W$13-'設定'!$B$4)/7)+IF('設定'!$D$11="",0,'設定'!$D$11),16)&lt;12,"N","P"))),"")))))</f>
        <v/>
      </c>
      <c r="X16" s="25">
        <f>IF(X$13="","",IF('設定'!$B$11="","",IF('請假登錄'!R7&lt;&gt;"",'請假登錄'!R7,IF('設定'!$C$11="S","S",IF('設定'!$C$11="R",IF(MOD(INT((X$13-'設定'!$B$4)/7)+IF('設定'!$D$11="",0,'設定'!$D$11),16)&lt;4,"A",IF(MOD(INT((X$13-'設定'!$B$4)/7)+IF('設定'!$D$11="",0,'設定'!$D$11),16)&lt;8,"P",IF(MOD(INT((X$13-'設定'!$B$4)/7)+IF('設定'!$D$11="",0,'設定'!$D$11),16)&lt;12,"N","P"))),"")))))</f>
        <v/>
      </c>
      <c r="Y16" s="25">
        <f>IF(Y$13="","",IF('設定'!$B$11="","",IF('請假登錄'!S7&lt;&gt;"",'請假登錄'!S7,IF('設定'!$C$11="S","S",IF('設定'!$C$11="R",IF(MOD(INT((Y$13-'設定'!$B$4)/7)+IF('設定'!$D$11="",0,'設定'!$D$11),16)&lt;4,"A",IF(MOD(INT((Y$13-'設定'!$B$4)/7)+IF('設定'!$D$11="",0,'設定'!$D$11),16)&lt;8,"P",IF(MOD(INT((Y$13-'設定'!$B$4)/7)+IF('設定'!$D$11="",0,'設定'!$D$11),16)&lt;12,"N","P"))),"")))))</f>
        <v/>
      </c>
      <c r="Z16" s="25">
        <f>IF(Z$13="","",IF('設定'!$B$11="","",IF('請假登錄'!T7&lt;&gt;"",'請假登錄'!T7,IF('設定'!$C$11="S","S",IF('設定'!$C$11="R",IF(MOD(INT((Z$13-'設定'!$B$4)/7)+IF('設定'!$D$11="",0,'設定'!$D$11),16)&lt;4,"A",IF(MOD(INT((Z$13-'設定'!$B$4)/7)+IF('設定'!$D$11="",0,'設定'!$D$11),16)&lt;8,"P",IF(MOD(INT((Z$13-'設定'!$B$4)/7)+IF('設定'!$D$11="",0,'設定'!$D$11),16)&lt;12,"N","P"))),"")))))</f>
        <v/>
      </c>
      <c r="AA16" s="25">
        <f>IF(AA$13="","",IF('設定'!$B$11="","",IF('請假登錄'!U7&lt;&gt;"",'請假登錄'!U7,IF('設定'!$C$11="S","S",IF('設定'!$C$11="R",IF(MOD(INT((AA$13-'設定'!$B$4)/7)+IF('設定'!$D$11="",0,'設定'!$D$11),16)&lt;4,"A",IF(MOD(INT((AA$13-'設定'!$B$4)/7)+IF('設定'!$D$11="",0,'設定'!$D$11),16)&lt;8,"P",IF(MOD(INT((AA$13-'設定'!$B$4)/7)+IF('設定'!$D$11="",0,'設定'!$D$11),16)&lt;12,"N","P"))),"")))))</f>
        <v/>
      </c>
      <c r="AB16" s="25">
        <f>IF(AB$13="","",IF('設定'!$B$11="","",IF('請假登錄'!V7&lt;&gt;"",'請假登錄'!V7,IF('設定'!$C$11="S","S",IF('設定'!$C$11="R",IF(MOD(INT((AB$13-'設定'!$B$4)/7)+IF('設定'!$D$11="",0,'設定'!$D$11),16)&lt;4,"A",IF(MOD(INT((AB$13-'設定'!$B$4)/7)+IF('設定'!$D$11="",0,'設定'!$D$11),16)&lt;8,"P",IF(MOD(INT((AB$13-'設定'!$B$4)/7)+IF('設定'!$D$11="",0,'設定'!$D$11),16)&lt;12,"N","P"))),"")))))</f>
        <v/>
      </c>
      <c r="AC16" s="25">
        <f>IF(AC$13="","",IF('設定'!$B$11="","",IF('請假登錄'!W7&lt;&gt;"",'請假登錄'!W7,IF('設定'!$C$11="S","S",IF('設定'!$C$11="R",IF(MOD(INT((AC$13-'設定'!$B$4)/7)+IF('設定'!$D$11="",0,'設定'!$D$11),16)&lt;4,"A",IF(MOD(INT((AC$13-'設定'!$B$4)/7)+IF('設定'!$D$11="",0,'設定'!$D$11),16)&lt;8,"P",IF(MOD(INT((AC$13-'設定'!$B$4)/7)+IF('設定'!$D$11="",0,'設定'!$D$11),16)&lt;12,"N","P"))),"")))))</f>
        <v/>
      </c>
      <c r="AD16" s="25">
        <f>IF(AD$13="","",IF('設定'!$B$11="","",IF('請假登錄'!X7&lt;&gt;"",'請假登錄'!X7,IF('設定'!$C$11="S","S",IF('設定'!$C$11="R",IF(MOD(INT((AD$13-'設定'!$B$4)/7)+IF('設定'!$D$11="",0,'設定'!$D$11),16)&lt;4,"A",IF(MOD(INT((AD$13-'設定'!$B$4)/7)+IF('設定'!$D$11="",0,'設定'!$D$11),16)&lt;8,"P",IF(MOD(INT((AD$13-'設定'!$B$4)/7)+IF('設定'!$D$11="",0,'設定'!$D$11),16)&lt;12,"N","P"))),"")))))</f>
        <v/>
      </c>
      <c r="AE16" s="25">
        <f>IF(AE$13="","",IF('設定'!$B$11="","",IF('請假登錄'!Y7&lt;&gt;"",'請假登錄'!Y7,IF('設定'!$C$11="S","S",IF('設定'!$C$11="R",IF(MOD(INT((AE$13-'設定'!$B$4)/7)+IF('設定'!$D$11="",0,'設定'!$D$11),16)&lt;4,"A",IF(MOD(INT((AE$13-'設定'!$B$4)/7)+IF('設定'!$D$11="",0,'設定'!$D$11),16)&lt;8,"P",IF(MOD(INT((AE$13-'設定'!$B$4)/7)+IF('設定'!$D$11="",0,'設定'!$D$11),16)&lt;12,"N","P"))),"")))))</f>
        <v/>
      </c>
      <c r="AF16" s="25">
        <f>IF(AF$13="","",IF('設定'!$B$11="","",IF('請假登錄'!Z7&lt;&gt;"",'請假登錄'!Z7,IF('設定'!$C$11="S","S",IF('設定'!$C$11="R",IF(MOD(INT((AF$13-'設定'!$B$4)/7)+IF('設定'!$D$11="",0,'設定'!$D$11),16)&lt;4,"A",IF(MOD(INT((AF$13-'設定'!$B$4)/7)+IF('設定'!$D$11="",0,'設定'!$D$11),16)&lt;8,"P",IF(MOD(INT((AF$13-'設定'!$B$4)/7)+IF('設定'!$D$11="",0,'設定'!$D$11),16)&lt;12,"N","P"))),"")))))</f>
        <v/>
      </c>
      <c r="AG16" s="25">
        <f>IF(AG$13="","",IF('設定'!$B$11="","",IF('請假登錄'!AA7&lt;&gt;"",'請假登錄'!AA7,IF('設定'!$C$11="S","S",IF('設定'!$C$11="R",IF(MOD(INT((AG$13-'設定'!$B$4)/7)+IF('設定'!$D$11="",0,'設定'!$D$11),16)&lt;4,"A",IF(MOD(INT((AG$13-'設定'!$B$4)/7)+IF('設定'!$D$11="",0,'設定'!$D$11),16)&lt;8,"P",IF(MOD(INT((AG$13-'設定'!$B$4)/7)+IF('設定'!$D$11="",0,'設定'!$D$11),16)&lt;12,"N","P"))),"")))))</f>
        <v/>
      </c>
      <c r="AH16" s="25">
        <f>IF(AH$13="","",IF('設定'!$B$11="","",IF('請假登錄'!AB7&lt;&gt;"",'請假登錄'!AB7,IF('設定'!$C$11="S","S",IF('設定'!$C$11="R",IF(MOD(INT((AH$13-'設定'!$B$4)/7)+IF('設定'!$D$11="",0,'設定'!$D$11),16)&lt;4,"A",IF(MOD(INT((AH$13-'設定'!$B$4)/7)+IF('設定'!$D$11="",0,'設定'!$D$11),16)&lt;8,"P",IF(MOD(INT((AH$13-'設定'!$B$4)/7)+IF('設定'!$D$11="",0,'設定'!$D$11),16)&lt;12,"N","P"))),"")))))</f>
        <v/>
      </c>
      <c r="AI16" s="25">
        <f>IF(AI$13="","",IF('設定'!$B$11="","",IF('請假登錄'!AC7&lt;&gt;"",'請假登錄'!AC7,IF('設定'!$C$11="S","S",IF('設定'!$C$11="R",IF(MOD(INT((AI$13-'設定'!$B$4)/7)+IF('設定'!$D$11="",0,'設定'!$D$11),16)&lt;4,"A",IF(MOD(INT((AI$13-'設定'!$B$4)/7)+IF('設定'!$D$11="",0,'設定'!$D$11),16)&lt;8,"P",IF(MOD(INT((AI$13-'設定'!$B$4)/7)+IF('設定'!$D$11="",0,'設定'!$D$11),16)&lt;12,"N","P"))),"")))))</f>
        <v/>
      </c>
      <c r="AJ16" s="25">
        <f>IF(AJ$13="","",IF('設定'!$B$11="","",IF('請假登錄'!AD7&lt;&gt;"",'請假登錄'!AD7,IF('設定'!$C$11="S","S",IF('設定'!$C$11="R",IF(MOD(INT((AJ$13-'設定'!$B$4)/7)+IF('設定'!$D$11="",0,'設定'!$D$11),16)&lt;4,"A",IF(MOD(INT((AJ$13-'設定'!$B$4)/7)+IF('設定'!$D$11="",0,'設定'!$D$11),16)&lt;8,"P",IF(MOD(INT((AJ$13-'設定'!$B$4)/7)+IF('設定'!$D$11="",0,'設定'!$D$11),16)&lt;12,"N","P"))),"")))))</f>
        <v/>
      </c>
      <c r="AK16" s="25">
        <f>IF(AK$13="","",IF('設定'!$B$11="","",IF('請假登錄'!AE7&lt;&gt;"",'請假登錄'!AE7,IF('設定'!$C$11="S","S",IF('設定'!$C$11="R",IF(MOD(INT((AK$13-'設定'!$B$4)/7)+IF('設定'!$D$11="",0,'設定'!$D$11),16)&lt;4,"A",IF(MOD(INT((AK$13-'設定'!$B$4)/7)+IF('設定'!$D$11="",0,'設定'!$D$11),16)&lt;8,"P",IF(MOD(INT((AK$13-'設定'!$B$4)/7)+IF('設定'!$D$11="",0,'設定'!$D$11),16)&lt;12,"N","P"))),"")))))</f>
        <v/>
      </c>
      <c r="AL16" s="25">
        <f>IF(AL$13="","",IF('設定'!$B$11="","",IF('請假登錄'!AF7&lt;&gt;"",'請假登錄'!AF7,IF('設定'!$C$11="S","S",IF('設定'!$C$11="R",IF(MOD(INT((AL$13-'設定'!$B$4)/7)+IF('設定'!$D$11="",0,'設定'!$D$11),16)&lt;4,"A",IF(MOD(INT((AL$13-'設定'!$B$4)/7)+IF('設定'!$D$11="",0,'設定'!$D$11),16)&lt;8,"P",IF(MOD(INT((AL$13-'設定'!$B$4)/7)+IF('設定'!$D$11="",0,'設定'!$D$11),16)&lt;12,"N","P"))),"")))))</f>
        <v/>
      </c>
      <c r="AM16" s="25">
        <f>IF(AM$13="","",IF('設定'!$B$11="","",IF('請假登錄'!AG7&lt;&gt;"",'請假登錄'!AG7,IF('設定'!$C$11="S","S",IF('設定'!$C$11="R",IF(MOD(INT((AM$13-'設定'!$B$4)/7)+IF('設定'!$D$11="",0,'設定'!$D$11),16)&lt;4,"A",IF(MOD(INT((AM$13-'設定'!$B$4)/7)+IF('設定'!$D$11="",0,'設定'!$D$11),16)&lt;8,"P",IF(MOD(INT((AM$13-'設定'!$B$4)/7)+IF('設定'!$D$11="",0,'設定'!$D$11),16)&lt;12,"N","P"))),"")))))</f>
        <v/>
      </c>
      <c r="AN16" s="25">
        <f>IF(AN$13="","",IF('設定'!$B$11="","",IF('請假登錄'!AH7&lt;&gt;"",'請假登錄'!AH7,IF('設定'!$C$11="S","S",IF('設定'!$C$11="R",IF(MOD(INT((AN$13-'設定'!$B$4)/7)+IF('設定'!$D$11="",0,'設定'!$D$11),16)&lt;4,"A",IF(MOD(INT((AN$13-'設定'!$B$4)/7)+IF('設定'!$D$11="",0,'設定'!$D$11),16)&lt;8,"P",IF(MOD(INT((AN$13-'設定'!$B$4)/7)+IF('設定'!$D$11="",0,'設定'!$D$11),16)&lt;12,"N","P"))),"")))))</f>
        <v/>
      </c>
      <c r="AO16" s="25">
        <f>IF(AO$13="","",IF('設定'!$B$11="","",IF('請假登錄'!AI7&lt;&gt;"",'請假登錄'!AI7,IF('設定'!$C$11="S","S",IF('設定'!$C$11="R",IF(MOD(INT((AO$13-'設定'!$B$4)/7)+IF('設定'!$D$11="",0,'設定'!$D$11),16)&lt;4,"A",IF(MOD(INT((AO$13-'設定'!$B$4)/7)+IF('設定'!$D$11="",0,'設定'!$D$11),16)&lt;8,"P",IF(MOD(INT((AO$13-'設定'!$B$4)/7)+IF('設定'!$D$11="",0,'設定'!$D$11),16)&lt;12,"N","P"))),"")))))</f>
        <v/>
      </c>
      <c r="AP16" s="25">
        <f>IF(AP$13="","",IF('設定'!$B$11="","",IF('請假登錄'!AJ7&lt;&gt;"",'請假登錄'!AJ7,IF('設定'!$C$11="S","S",IF('設定'!$C$11="R",IF(MOD(INT((AP$13-'設定'!$B$4)/7)+IF('設定'!$D$11="",0,'設定'!$D$11),16)&lt;4,"A",IF(MOD(INT((AP$13-'設定'!$B$4)/7)+IF('設定'!$D$11="",0,'設定'!$D$11),16)&lt;8,"P",IF(MOD(INT((AP$13-'設定'!$B$4)/7)+IF('設定'!$D$11="",0,'設定'!$D$11),16)&lt;12,"N","P"))),"")))))</f>
        <v/>
      </c>
      <c r="AQ16" s="25">
        <f>IF(AQ$13="","",IF('設定'!$B$11="","",IF('請假登錄'!AK7&lt;&gt;"",'請假登錄'!AK7,IF('設定'!$C$11="S","S",IF('設定'!$C$11="R",IF(MOD(INT((AQ$13-'設定'!$B$4)/7)+IF('設定'!$D$11="",0,'設定'!$D$11),16)&lt;4,"A",IF(MOD(INT((AQ$13-'設定'!$B$4)/7)+IF('設定'!$D$11="",0,'設定'!$D$11),16)&lt;8,"P",IF(MOD(INT((AQ$13-'設定'!$B$4)/7)+IF('設定'!$D$11="",0,'設定'!$D$11),16)&lt;12,"N","P"))),"")))))</f>
        <v/>
      </c>
      <c r="AR16" s="25">
        <f>IF(AR$13="","",IF('設定'!$B$11="","",IF('請假登錄'!AL7&lt;&gt;"",'請假登錄'!AL7,IF('設定'!$C$11="S","S",IF('設定'!$C$11="R",IF(MOD(INT((AR$13-'設定'!$B$4)/7)+IF('設定'!$D$11="",0,'設定'!$D$11),16)&lt;4,"A",IF(MOD(INT((AR$13-'設定'!$B$4)/7)+IF('設定'!$D$11="",0,'設定'!$D$11),16)&lt;8,"P",IF(MOD(INT((AR$13-'設定'!$B$4)/7)+IF('設定'!$D$11="",0,'設定'!$D$11),16)&lt;12,"N","P"))),"")))))</f>
        <v/>
      </c>
      <c r="AS16" s="25">
        <f>IF(AS$13="","",IF('設定'!$B$11="","",IF('請假登錄'!AM7&lt;&gt;"",'請假登錄'!AM7,IF('設定'!$C$11="S","S",IF('設定'!$C$11="R",IF(MOD(INT((AS$13-'設定'!$B$4)/7)+IF('設定'!$D$11="",0,'設定'!$D$11),16)&lt;4,"A",IF(MOD(INT((AS$13-'設定'!$B$4)/7)+IF('設定'!$D$11="",0,'設定'!$D$11),16)&lt;8,"P",IF(MOD(INT((AS$13-'設定'!$B$4)/7)+IF('設定'!$D$11="",0,'設定'!$D$11),16)&lt;12,"N","P"))),"")))))</f>
        <v/>
      </c>
      <c r="AT16" s="25">
        <f>IF(AT$13="","",IF('設定'!$B$11="","",IF('請假登錄'!AN7&lt;&gt;"",'請假登錄'!AN7,IF('設定'!$C$11="S","S",IF('設定'!$C$11="R",IF(MOD(INT((AT$13-'設定'!$B$4)/7)+IF('設定'!$D$11="",0,'設定'!$D$11),16)&lt;4,"A",IF(MOD(INT((AT$13-'設定'!$B$4)/7)+IF('設定'!$D$11="",0,'設定'!$D$11),16)&lt;8,"P",IF(MOD(INT((AT$13-'設定'!$B$4)/7)+IF('設定'!$D$11="",0,'設定'!$D$11),16)&lt;12,"N","P"))),"")))))</f>
        <v/>
      </c>
      <c r="AU16" s="25">
        <f>IF(AU$13="","",IF('設定'!$B$11="","",IF('請假登錄'!AO7&lt;&gt;"",'請假登錄'!AO7,IF('設定'!$C$11="S","S",IF('設定'!$C$11="R",IF(MOD(INT((AU$13-'設定'!$B$4)/7)+IF('設定'!$D$11="",0,'設定'!$D$11),16)&lt;4,"A",IF(MOD(INT((AU$13-'設定'!$B$4)/7)+IF('設定'!$D$11="",0,'設定'!$D$11),16)&lt;8,"P",IF(MOD(INT((AU$13-'設定'!$B$4)/7)+IF('設定'!$D$11="",0,'設定'!$D$11),16)&lt;12,"N","P"))),"")))))</f>
        <v/>
      </c>
      <c r="AV16" s="25">
        <f>IF(AV$13="","",IF('設定'!$B$11="","",IF('請假登錄'!AP7&lt;&gt;"",'請假登錄'!AP7,IF('設定'!$C$11="S","S",IF('設定'!$C$11="R",IF(MOD(INT((AV$13-'設定'!$B$4)/7)+IF('設定'!$D$11="",0,'設定'!$D$11),16)&lt;4,"A",IF(MOD(INT((AV$13-'設定'!$B$4)/7)+IF('設定'!$D$11="",0,'設定'!$D$11),16)&lt;8,"P",IF(MOD(INT((AV$13-'設定'!$B$4)/7)+IF('設定'!$D$11="",0,'設定'!$D$11),16)&lt;12,"N","P"))),"")))))</f>
        <v/>
      </c>
      <c r="AW16" s="25">
        <f>IF(AW$13="","",IF('設定'!$B$11="","",IF('請假登錄'!AQ7&lt;&gt;"",'請假登錄'!AQ7,IF('設定'!$C$11="S","S",IF('設定'!$C$11="R",IF(MOD(INT((AW$13-'設定'!$B$4)/7)+IF('設定'!$D$11="",0,'設定'!$D$11),16)&lt;4,"A",IF(MOD(INT((AW$13-'設定'!$B$4)/7)+IF('設定'!$D$11="",0,'設定'!$D$11),16)&lt;8,"P",IF(MOD(INT((AW$13-'設定'!$B$4)/7)+IF('設定'!$D$11="",0,'設定'!$D$11),16)&lt;12,"N","P"))),"")))))</f>
        <v/>
      </c>
      <c r="AX16" s="25">
        <f>IF(AX$13="","",IF('設定'!$B$11="","",IF('請假登錄'!AR7&lt;&gt;"",'請假登錄'!AR7,IF('設定'!$C$11="S","S",IF('設定'!$C$11="R",IF(MOD(INT((AX$13-'設定'!$B$4)/7)+IF('設定'!$D$11="",0,'設定'!$D$11),16)&lt;4,"A",IF(MOD(INT((AX$13-'設定'!$B$4)/7)+IF('設定'!$D$11="",0,'設定'!$D$11),16)&lt;8,"P",IF(MOD(INT((AX$13-'設定'!$B$4)/7)+IF('設定'!$D$11="",0,'設定'!$D$11),16)&lt;12,"N","P"))),"")))))</f>
        <v/>
      </c>
      <c r="AY16" s="25">
        <f>IF(AY$13="","",IF('設定'!$B$11="","",IF('請假登錄'!AS7&lt;&gt;"",'請假登錄'!AS7,IF('設定'!$C$11="S","S",IF('設定'!$C$11="R",IF(MOD(INT((AY$13-'設定'!$B$4)/7)+IF('設定'!$D$11="",0,'設定'!$D$11),16)&lt;4,"A",IF(MOD(INT((AY$13-'設定'!$B$4)/7)+IF('設定'!$D$11="",0,'設定'!$D$11),16)&lt;8,"P",IF(MOD(INT((AY$13-'設定'!$B$4)/7)+IF('設定'!$D$11="",0,'設定'!$D$11),16)&lt;12,"N","P"))),"")))))</f>
        <v/>
      </c>
      <c r="AZ16" s="25">
        <f>IF(AZ$13="","",IF('設定'!$B$11="","",IF('請假登錄'!AT7&lt;&gt;"",'請假登錄'!AT7,IF('設定'!$C$11="S","S",IF('設定'!$C$11="R",IF(MOD(INT((AZ$13-'設定'!$B$4)/7)+IF('設定'!$D$11="",0,'設定'!$D$11),16)&lt;4,"A",IF(MOD(INT((AZ$13-'設定'!$B$4)/7)+IF('設定'!$D$11="",0,'設定'!$D$11),16)&lt;8,"P",IF(MOD(INT((AZ$13-'設定'!$B$4)/7)+IF('設定'!$D$11="",0,'設定'!$D$11),16)&lt;12,"N","P"))),"")))))</f>
        <v/>
      </c>
      <c r="BA16" s="25">
        <f>IF(BA$13="","",IF('設定'!$B$11="","",IF('請假登錄'!AU7&lt;&gt;"",'請假登錄'!AU7,IF('設定'!$C$11="S","S",IF('設定'!$C$11="R",IF(MOD(INT((BA$13-'設定'!$B$4)/7)+IF('設定'!$D$11="",0,'設定'!$D$11),16)&lt;4,"A",IF(MOD(INT((BA$13-'設定'!$B$4)/7)+IF('設定'!$D$11="",0,'設定'!$D$11),16)&lt;8,"P",IF(MOD(INT((BA$13-'設定'!$B$4)/7)+IF('設定'!$D$11="",0,'設定'!$D$11),16)&lt;12,"N","P"))),"")))))</f>
        <v/>
      </c>
      <c r="BB16" s="25">
        <f>IF(BB$13="","",IF('設定'!$B$11="","",IF('請假登錄'!AV7&lt;&gt;"",'請假登錄'!AV7,IF('設定'!$C$11="S","S",IF('設定'!$C$11="R",IF(MOD(INT((BB$13-'設定'!$B$4)/7)+IF('設定'!$D$11="",0,'設定'!$D$11),16)&lt;4,"A",IF(MOD(INT((BB$13-'設定'!$B$4)/7)+IF('設定'!$D$11="",0,'設定'!$D$11),16)&lt;8,"P",IF(MOD(INT((BB$13-'設定'!$B$4)/7)+IF('設定'!$D$11="",0,'設定'!$D$11),16)&lt;12,"N","P"))),"")))))</f>
        <v/>
      </c>
      <c r="BC16" s="25">
        <f>IF(BC$13="","",IF('設定'!$B$11="","",IF('請假登錄'!AW7&lt;&gt;"",'請假登錄'!AW7,IF('設定'!$C$11="S","S",IF('設定'!$C$11="R",IF(MOD(INT((BC$13-'設定'!$B$4)/7)+IF('設定'!$D$11="",0,'設定'!$D$11),16)&lt;4,"A",IF(MOD(INT((BC$13-'設定'!$B$4)/7)+IF('設定'!$D$11="",0,'設定'!$D$11),16)&lt;8,"P",IF(MOD(INT((BC$13-'設定'!$B$4)/7)+IF('設定'!$D$11="",0,'設定'!$D$11),16)&lt;12,"N","P"))),"")))))</f>
        <v/>
      </c>
      <c r="BD16" s="25">
        <f>IF(BD$13="","",IF('設定'!$B$11="","",IF('請假登錄'!AX7&lt;&gt;"",'請假登錄'!AX7,IF('設定'!$C$11="S","S",IF('設定'!$C$11="R",IF(MOD(INT((BD$13-'設定'!$B$4)/7)+IF('設定'!$D$11="",0,'設定'!$D$11),16)&lt;4,"A",IF(MOD(INT((BD$13-'設定'!$B$4)/7)+IF('設定'!$D$11="",0,'設定'!$D$11),16)&lt;8,"P",IF(MOD(INT((BD$13-'設定'!$B$4)/7)+IF('設定'!$D$11="",0,'設定'!$D$11),16)&lt;12,"N","P"))),"")))))</f>
        <v/>
      </c>
      <c r="BE16" s="25">
        <f>IF(BE$13="","",IF('設定'!$B$11="","",IF('請假登錄'!AY7&lt;&gt;"",'請假登錄'!AY7,IF('設定'!$C$11="S","S",IF('設定'!$C$11="R",IF(MOD(INT((BE$13-'設定'!$B$4)/7)+IF('設定'!$D$11="",0,'設定'!$D$11),16)&lt;4,"A",IF(MOD(INT((BE$13-'設定'!$B$4)/7)+IF('設定'!$D$11="",0,'設定'!$D$11),16)&lt;8,"P",IF(MOD(INT((BE$13-'設定'!$B$4)/7)+IF('設定'!$D$11="",0,'設定'!$D$11),16)&lt;12,"N","P"))),"")))))</f>
        <v/>
      </c>
      <c r="BF16" s="25">
        <f>IF(BF$13="","",IF('設定'!$B$11="","",IF('請假登錄'!AZ7&lt;&gt;"",'請假登錄'!AZ7,IF('設定'!$C$11="S","S",IF('設定'!$C$11="R",IF(MOD(INT((BF$13-'設定'!$B$4)/7)+IF('設定'!$D$11="",0,'設定'!$D$11),16)&lt;4,"A",IF(MOD(INT((BF$13-'設定'!$B$4)/7)+IF('設定'!$D$11="",0,'設定'!$D$11),16)&lt;8,"P",IF(MOD(INT((BF$13-'設定'!$B$4)/7)+IF('設定'!$D$11="",0,'設定'!$D$11),16)&lt;12,"N","P"))),"")))))</f>
        <v/>
      </c>
      <c r="BG16" s="25">
        <f>IF(BG$13="","",IF('設定'!$B$11="","",IF('請假登錄'!BA7&lt;&gt;"",'請假登錄'!BA7,IF('設定'!$C$11="S","S",IF('設定'!$C$11="R",IF(MOD(INT((BG$13-'設定'!$B$4)/7)+IF('設定'!$D$11="",0,'設定'!$D$11),16)&lt;4,"A",IF(MOD(INT((BG$13-'設定'!$B$4)/7)+IF('設定'!$D$11="",0,'設定'!$D$11),16)&lt;8,"P",IF(MOD(INT((BG$13-'設定'!$B$4)/7)+IF('設定'!$D$11="",0,'設定'!$D$11),16)&lt;12,"N","P"))),"")))))</f>
        <v/>
      </c>
      <c r="BH16" s="25">
        <f>IF(BH$13="","",IF('設定'!$B$11="","",IF('請假登錄'!BB7&lt;&gt;"",'請假登錄'!BB7,IF('設定'!$C$11="S","S",IF('設定'!$C$11="R",IF(MOD(INT((BH$13-'設定'!$B$4)/7)+IF('設定'!$D$11="",0,'設定'!$D$11),16)&lt;4,"A",IF(MOD(INT((BH$13-'設定'!$B$4)/7)+IF('設定'!$D$11="",0,'設定'!$D$11),16)&lt;8,"P",IF(MOD(INT((BH$13-'設定'!$B$4)/7)+IF('設定'!$D$11="",0,'設定'!$D$11),16)&lt;12,"N","P"))),"")))))</f>
        <v/>
      </c>
    </row>
    <row r="17" ht="22" customHeight="1">
      <c r="A17" s="21">
        <f>'設定'!B12</f>
        <v/>
      </c>
      <c r="B17" s="23">
        <f>IF(A17="","",COUNTIF(H17:BH17,"AL"))</f>
        <v/>
      </c>
      <c r="C17" s="23">
        <f>IF(A17="","",'設定'!$B$5-B17)</f>
        <v/>
      </c>
      <c r="D17" s="23">
        <f>IF(A17="","",COUNTIF(H17:BH17,"SL"))</f>
        <v/>
      </c>
      <c r="E17" s="22">
        <f>IF(A17="","",F17+G17)</f>
        <v/>
      </c>
      <c r="F17" s="24" t="n">
        <v>0</v>
      </c>
      <c r="G17" s="23">
        <f>IF(A17="","",SUMPRODUCT(((H17:BH17="A")+(H17:BH17="P")+(H17:BH17="N")+(H17:BH17="S"))*(H$21:BH$21)))</f>
        <v/>
      </c>
      <c r="H17" s="25">
        <f>IF(H$13="","",IF('設定'!$B$12="","",IF('請假登錄'!B8&lt;&gt;"",'請假登錄'!B8,IF('設定'!$C$12="S","S",IF('設定'!$C$12="R",IF(MOD(INT((H$13-'設定'!$B$4)/7)+IF('設定'!$D$12="",0,'設定'!$D$12),16)&lt;4,"A",IF(MOD(INT((H$13-'設定'!$B$4)/7)+IF('設定'!$D$12="",0,'設定'!$D$12),16)&lt;8,"P",IF(MOD(INT((H$13-'設定'!$B$4)/7)+IF('設定'!$D$12="",0,'設定'!$D$12),16)&lt;12,"N","P"))),"")))))</f>
        <v/>
      </c>
      <c r="I17" s="25">
        <f>IF(I$13="","",IF('設定'!$B$12="","",IF('請假登錄'!C8&lt;&gt;"",'請假登錄'!C8,IF('設定'!$C$12="S","S",IF('設定'!$C$12="R",IF(MOD(INT((I$13-'設定'!$B$4)/7)+IF('設定'!$D$12="",0,'設定'!$D$12),16)&lt;4,"A",IF(MOD(INT((I$13-'設定'!$B$4)/7)+IF('設定'!$D$12="",0,'設定'!$D$12),16)&lt;8,"P",IF(MOD(INT((I$13-'設定'!$B$4)/7)+IF('設定'!$D$12="",0,'設定'!$D$12),16)&lt;12,"N","P"))),"")))))</f>
        <v/>
      </c>
      <c r="J17" s="25">
        <f>IF(J$13="","",IF('設定'!$B$12="","",IF('請假登錄'!D8&lt;&gt;"",'請假登錄'!D8,IF('設定'!$C$12="S","S",IF('設定'!$C$12="R",IF(MOD(INT((J$13-'設定'!$B$4)/7)+IF('設定'!$D$12="",0,'設定'!$D$12),16)&lt;4,"A",IF(MOD(INT((J$13-'設定'!$B$4)/7)+IF('設定'!$D$12="",0,'設定'!$D$12),16)&lt;8,"P",IF(MOD(INT((J$13-'設定'!$B$4)/7)+IF('設定'!$D$12="",0,'設定'!$D$12),16)&lt;12,"N","P"))),"")))))</f>
        <v/>
      </c>
      <c r="K17" s="25">
        <f>IF(K$13="","",IF('設定'!$B$12="","",IF('請假登錄'!E8&lt;&gt;"",'請假登錄'!E8,IF('設定'!$C$12="S","S",IF('設定'!$C$12="R",IF(MOD(INT((K$13-'設定'!$B$4)/7)+IF('設定'!$D$12="",0,'設定'!$D$12),16)&lt;4,"A",IF(MOD(INT((K$13-'設定'!$B$4)/7)+IF('設定'!$D$12="",0,'設定'!$D$12),16)&lt;8,"P",IF(MOD(INT((K$13-'設定'!$B$4)/7)+IF('設定'!$D$12="",0,'設定'!$D$12),16)&lt;12,"N","P"))),"")))))</f>
        <v/>
      </c>
      <c r="L17" s="25">
        <f>IF(L$13="","",IF('設定'!$B$12="","",IF('請假登錄'!F8&lt;&gt;"",'請假登錄'!F8,IF('設定'!$C$12="S","S",IF('設定'!$C$12="R",IF(MOD(INT((L$13-'設定'!$B$4)/7)+IF('設定'!$D$12="",0,'設定'!$D$12),16)&lt;4,"A",IF(MOD(INT((L$13-'設定'!$B$4)/7)+IF('設定'!$D$12="",0,'設定'!$D$12),16)&lt;8,"P",IF(MOD(INT((L$13-'設定'!$B$4)/7)+IF('設定'!$D$12="",0,'設定'!$D$12),16)&lt;12,"N","P"))),"")))))</f>
        <v/>
      </c>
      <c r="M17" s="25">
        <f>IF(M$13="","",IF('設定'!$B$12="","",IF('請假登錄'!G8&lt;&gt;"",'請假登錄'!G8,IF('設定'!$C$12="S","S",IF('設定'!$C$12="R",IF(MOD(INT((M$13-'設定'!$B$4)/7)+IF('設定'!$D$12="",0,'設定'!$D$12),16)&lt;4,"A",IF(MOD(INT((M$13-'設定'!$B$4)/7)+IF('設定'!$D$12="",0,'設定'!$D$12),16)&lt;8,"P",IF(MOD(INT((M$13-'設定'!$B$4)/7)+IF('設定'!$D$12="",0,'設定'!$D$12),16)&lt;12,"N","P"))),"")))))</f>
        <v/>
      </c>
      <c r="N17" s="25">
        <f>IF(N$13="","",IF('設定'!$B$12="","",IF('請假登錄'!H8&lt;&gt;"",'請假登錄'!H8,IF('設定'!$C$12="S","S",IF('設定'!$C$12="R",IF(MOD(INT((N$13-'設定'!$B$4)/7)+IF('設定'!$D$12="",0,'設定'!$D$12),16)&lt;4,"A",IF(MOD(INT((N$13-'設定'!$B$4)/7)+IF('設定'!$D$12="",0,'設定'!$D$12),16)&lt;8,"P",IF(MOD(INT((N$13-'設定'!$B$4)/7)+IF('設定'!$D$12="",0,'設定'!$D$12),16)&lt;12,"N","P"))),"")))))</f>
        <v/>
      </c>
      <c r="O17" s="25">
        <f>IF(O$13="","",IF('設定'!$B$12="","",IF('請假登錄'!I8&lt;&gt;"",'請假登錄'!I8,IF('設定'!$C$12="S","S",IF('設定'!$C$12="R",IF(MOD(INT((O$13-'設定'!$B$4)/7)+IF('設定'!$D$12="",0,'設定'!$D$12),16)&lt;4,"A",IF(MOD(INT((O$13-'設定'!$B$4)/7)+IF('設定'!$D$12="",0,'設定'!$D$12),16)&lt;8,"P",IF(MOD(INT((O$13-'設定'!$B$4)/7)+IF('設定'!$D$12="",0,'設定'!$D$12),16)&lt;12,"N","P"))),"")))))</f>
        <v/>
      </c>
      <c r="P17" s="25">
        <f>IF(P$13="","",IF('設定'!$B$12="","",IF('請假登錄'!J8&lt;&gt;"",'請假登錄'!J8,IF('設定'!$C$12="S","S",IF('設定'!$C$12="R",IF(MOD(INT((P$13-'設定'!$B$4)/7)+IF('設定'!$D$12="",0,'設定'!$D$12),16)&lt;4,"A",IF(MOD(INT((P$13-'設定'!$B$4)/7)+IF('設定'!$D$12="",0,'設定'!$D$12),16)&lt;8,"P",IF(MOD(INT((P$13-'設定'!$B$4)/7)+IF('設定'!$D$12="",0,'設定'!$D$12),16)&lt;12,"N","P"))),"")))))</f>
        <v/>
      </c>
      <c r="Q17" s="25">
        <f>IF(Q$13="","",IF('設定'!$B$12="","",IF('請假登錄'!K8&lt;&gt;"",'請假登錄'!K8,IF('設定'!$C$12="S","S",IF('設定'!$C$12="R",IF(MOD(INT((Q$13-'設定'!$B$4)/7)+IF('設定'!$D$12="",0,'設定'!$D$12),16)&lt;4,"A",IF(MOD(INT((Q$13-'設定'!$B$4)/7)+IF('設定'!$D$12="",0,'設定'!$D$12),16)&lt;8,"P",IF(MOD(INT((Q$13-'設定'!$B$4)/7)+IF('設定'!$D$12="",0,'設定'!$D$12),16)&lt;12,"N","P"))),"")))))</f>
        <v/>
      </c>
      <c r="R17" s="25">
        <f>IF(R$13="","",IF('設定'!$B$12="","",IF('請假登錄'!L8&lt;&gt;"",'請假登錄'!L8,IF('設定'!$C$12="S","S",IF('設定'!$C$12="R",IF(MOD(INT((R$13-'設定'!$B$4)/7)+IF('設定'!$D$12="",0,'設定'!$D$12),16)&lt;4,"A",IF(MOD(INT((R$13-'設定'!$B$4)/7)+IF('設定'!$D$12="",0,'設定'!$D$12),16)&lt;8,"P",IF(MOD(INT((R$13-'設定'!$B$4)/7)+IF('設定'!$D$12="",0,'設定'!$D$12),16)&lt;12,"N","P"))),"")))))</f>
        <v/>
      </c>
      <c r="S17" s="25">
        <f>IF(S$13="","",IF('設定'!$B$12="","",IF('請假登錄'!M8&lt;&gt;"",'請假登錄'!M8,IF('設定'!$C$12="S","S",IF('設定'!$C$12="R",IF(MOD(INT((S$13-'設定'!$B$4)/7)+IF('設定'!$D$12="",0,'設定'!$D$12),16)&lt;4,"A",IF(MOD(INT((S$13-'設定'!$B$4)/7)+IF('設定'!$D$12="",0,'設定'!$D$12),16)&lt;8,"P",IF(MOD(INT((S$13-'設定'!$B$4)/7)+IF('設定'!$D$12="",0,'設定'!$D$12),16)&lt;12,"N","P"))),"")))))</f>
        <v/>
      </c>
      <c r="T17" s="25">
        <f>IF(T$13="","",IF('設定'!$B$12="","",IF('請假登錄'!N8&lt;&gt;"",'請假登錄'!N8,IF('設定'!$C$12="S","S",IF('設定'!$C$12="R",IF(MOD(INT((T$13-'設定'!$B$4)/7)+IF('設定'!$D$12="",0,'設定'!$D$12),16)&lt;4,"A",IF(MOD(INT((T$13-'設定'!$B$4)/7)+IF('設定'!$D$12="",0,'設定'!$D$12),16)&lt;8,"P",IF(MOD(INT((T$13-'設定'!$B$4)/7)+IF('設定'!$D$12="",0,'設定'!$D$12),16)&lt;12,"N","P"))),"")))))</f>
        <v/>
      </c>
      <c r="U17" s="25">
        <f>IF(U$13="","",IF('設定'!$B$12="","",IF('請假登錄'!O8&lt;&gt;"",'請假登錄'!O8,IF('設定'!$C$12="S","S",IF('設定'!$C$12="R",IF(MOD(INT((U$13-'設定'!$B$4)/7)+IF('設定'!$D$12="",0,'設定'!$D$12),16)&lt;4,"A",IF(MOD(INT((U$13-'設定'!$B$4)/7)+IF('設定'!$D$12="",0,'設定'!$D$12),16)&lt;8,"P",IF(MOD(INT((U$13-'設定'!$B$4)/7)+IF('設定'!$D$12="",0,'設定'!$D$12),16)&lt;12,"N","P"))),"")))))</f>
        <v/>
      </c>
      <c r="V17" s="25">
        <f>IF(V$13="","",IF('設定'!$B$12="","",IF('請假登錄'!P8&lt;&gt;"",'請假登錄'!P8,IF('設定'!$C$12="S","S",IF('設定'!$C$12="R",IF(MOD(INT((V$13-'設定'!$B$4)/7)+IF('設定'!$D$12="",0,'設定'!$D$12),16)&lt;4,"A",IF(MOD(INT((V$13-'設定'!$B$4)/7)+IF('設定'!$D$12="",0,'設定'!$D$12),16)&lt;8,"P",IF(MOD(INT((V$13-'設定'!$B$4)/7)+IF('設定'!$D$12="",0,'設定'!$D$12),16)&lt;12,"N","P"))),"")))))</f>
        <v/>
      </c>
      <c r="W17" s="25">
        <f>IF(W$13="","",IF('設定'!$B$12="","",IF('請假登錄'!Q8&lt;&gt;"",'請假登錄'!Q8,IF('設定'!$C$12="S","S",IF('設定'!$C$12="R",IF(MOD(INT((W$13-'設定'!$B$4)/7)+IF('設定'!$D$12="",0,'設定'!$D$12),16)&lt;4,"A",IF(MOD(INT((W$13-'設定'!$B$4)/7)+IF('設定'!$D$12="",0,'設定'!$D$12),16)&lt;8,"P",IF(MOD(INT((W$13-'設定'!$B$4)/7)+IF('設定'!$D$12="",0,'設定'!$D$12),16)&lt;12,"N","P"))),"")))))</f>
        <v/>
      </c>
      <c r="X17" s="25">
        <f>IF(X$13="","",IF('設定'!$B$12="","",IF('請假登錄'!R8&lt;&gt;"",'請假登錄'!R8,IF('設定'!$C$12="S","S",IF('設定'!$C$12="R",IF(MOD(INT((X$13-'設定'!$B$4)/7)+IF('設定'!$D$12="",0,'設定'!$D$12),16)&lt;4,"A",IF(MOD(INT((X$13-'設定'!$B$4)/7)+IF('設定'!$D$12="",0,'設定'!$D$12),16)&lt;8,"P",IF(MOD(INT((X$13-'設定'!$B$4)/7)+IF('設定'!$D$12="",0,'設定'!$D$12),16)&lt;12,"N","P"))),"")))))</f>
        <v/>
      </c>
      <c r="Y17" s="25">
        <f>IF(Y$13="","",IF('設定'!$B$12="","",IF('請假登錄'!S8&lt;&gt;"",'請假登錄'!S8,IF('設定'!$C$12="S","S",IF('設定'!$C$12="R",IF(MOD(INT((Y$13-'設定'!$B$4)/7)+IF('設定'!$D$12="",0,'設定'!$D$12),16)&lt;4,"A",IF(MOD(INT((Y$13-'設定'!$B$4)/7)+IF('設定'!$D$12="",0,'設定'!$D$12),16)&lt;8,"P",IF(MOD(INT((Y$13-'設定'!$B$4)/7)+IF('設定'!$D$12="",0,'設定'!$D$12),16)&lt;12,"N","P"))),"")))))</f>
        <v/>
      </c>
      <c r="Z17" s="25">
        <f>IF(Z$13="","",IF('設定'!$B$12="","",IF('請假登錄'!T8&lt;&gt;"",'請假登錄'!T8,IF('設定'!$C$12="S","S",IF('設定'!$C$12="R",IF(MOD(INT((Z$13-'設定'!$B$4)/7)+IF('設定'!$D$12="",0,'設定'!$D$12),16)&lt;4,"A",IF(MOD(INT((Z$13-'設定'!$B$4)/7)+IF('設定'!$D$12="",0,'設定'!$D$12),16)&lt;8,"P",IF(MOD(INT((Z$13-'設定'!$B$4)/7)+IF('設定'!$D$12="",0,'設定'!$D$12),16)&lt;12,"N","P"))),"")))))</f>
        <v/>
      </c>
      <c r="AA17" s="25">
        <f>IF(AA$13="","",IF('設定'!$B$12="","",IF('請假登錄'!U8&lt;&gt;"",'請假登錄'!U8,IF('設定'!$C$12="S","S",IF('設定'!$C$12="R",IF(MOD(INT((AA$13-'設定'!$B$4)/7)+IF('設定'!$D$12="",0,'設定'!$D$12),16)&lt;4,"A",IF(MOD(INT((AA$13-'設定'!$B$4)/7)+IF('設定'!$D$12="",0,'設定'!$D$12),16)&lt;8,"P",IF(MOD(INT((AA$13-'設定'!$B$4)/7)+IF('設定'!$D$12="",0,'設定'!$D$12),16)&lt;12,"N","P"))),"")))))</f>
        <v/>
      </c>
      <c r="AB17" s="25">
        <f>IF(AB$13="","",IF('設定'!$B$12="","",IF('請假登錄'!V8&lt;&gt;"",'請假登錄'!V8,IF('設定'!$C$12="S","S",IF('設定'!$C$12="R",IF(MOD(INT((AB$13-'設定'!$B$4)/7)+IF('設定'!$D$12="",0,'設定'!$D$12),16)&lt;4,"A",IF(MOD(INT((AB$13-'設定'!$B$4)/7)+IF('設定'!$D$12="",0,'設定'!$D$12),16)&lt;8,"P",IF(MOD(INT((AB$13-'設定'!$B$4)/7)+IF('設定'!$D$12="",0,'設定'!$D$12),16)&lt;12,"N","P"))),"")))))</f>
        <v/>
      </c>
      <c r="AC17" s="25">
        <f>IF(AC$13="","",IF('設定'!$B$12="","",IF('請假登錄'!W8&lt;&gt;"",'請假登錄'!W8,IF('設定'!$C$12="S","S",IF('設定'!$C$12="R",IF(MOD(INT((AC$13-'設定'!$B$4)/7)+IF('設定'!$D$12="",0,'設定'!$D$12),16)&lt;4,"A",IF(MOD(INT((AC$13-'設定'!$B$4)/7)+IF('設定'!$D$12="",0,'設定'!$D$12),16)&lt;8,"P",IF(MOD(INT((AC$13-'設定'!$B$4)/7)+IF('設定'!$D$12="",0,'設定'!$D$12),16)&lt;12,"N","P"))),"")))))</f>
        <v/>
      </c>
      <c r="AD17" s="25">
        <f>IF(AD$13="","",IF('設定'!$B$12="","",IF('請假登錄'!X8&lt;&gt;"",'請假登錄'!X8,IF('設定'!$C$12="S","S",IF('設定'!$C$12="R",IF(MOD(INT((AD$13-'設定'!$B$4)/7)+IF('設定'!$D$12="",0,'設定'!$D$12),16)&lt;4,"A",IF(MOD(INT((AD$13-'設定'!$B$4)/7)+IF('設定'!$D$12="",0,'設定'!$D$12),16)&lt;8,"P",IF(MOD(INT((AD$13-'設定'!$B$4)/7)+IF('設定'!$D$12="",0,'設定'!$D$12),16)&lt;12,"N","P"))),"")))))</f>
        <v/>
      </c>
      <c r="AE17" s="25">
        <f>IF(AE$13="","",IF('設定'!$B$12="","",IF('請假登錄'!Y8&lt;&gt;"",'請假登錄'!Y8,IF('設定'!$C$12="S","S",IF('設定'!$C$12="R",IF(MOD(INT((AE$13-'設定'!$B$4)/7)+IF('設定'!$D$12="",0,'設定'!$D$12),16)&lt;4,"A",IF(MOD(INT((AE$13-'設定'!$B$4)/7)+IF('設定'!$D$12="",0,'設定'!$D$12),16)&lt;8,"P",IF(MOD(INT((AE$13-'設定'!$B$4)/7)+IF('設定'!$D$12="",0,'設定'!$D$12),16)&lt;12,"N","P"))),"")))))</f>
        <v/>
      </c>
      <c r="AF17" s="25">
        <f>IF(AF$13="","",IF('設定'!$B$12="","",IF('請假登錄'!Z8&lt;&gt;"",'請假登錄'!Z8,IF('設定'!$C$12="S","S",IF('設定'!$C$12="R",IF(MOD(INT((AF$13-'設定'!$B$4)/7)+IF('設定'!$D$12="",0,'設定'!$D$12),16)&lt;4,"A",IF(MOD(INT((AF$13-'設定'!$B$4)/7)+IF('設定'!$D$12="",0,'設定'!$D$12),16)&lt;8,"P",IF(MOD(INT((AF$13-'設定'!$B$4)/7)+IF('設定'!$D$12="",0,'設定'!$D$12),16)&lt;12,"N","P"))),"")))))</f>
        <v/>
      </c>
      <c r="AG17" s="25">
        <f>IF(AG$13="","",IF('設定'!$B$12="","",IF('請假登錄'!AA8&lt;&gt;"",'請假登錄'!AA8,IF('設定'!$C$12="S","S",IF('設定'!$C$12="R",IF(MOD(INT((AG$13-'設定'!$B$4)/7)+IF('設定'!$D$12="",0,'設定'!$D$12),16)&lt;4,"A",IF(MOD(INT((AG$13-'設定'!$B$4)/7)+IF('設定'!$D$12="",0,'設定'!$D$12),16)&lt;8,"P",IF(MOD(INT((AG$13-'設定'!$B$4)/7)+IF('設定'!$D$12="",0,'設定'!$D$12),16)&lt;12,"N","P"))),"")))))</f>
        <v/>
      </c>
      <c r="AH17" s="25">
        <f>IF(AH$13="","",IF('設定'!$B$12="","",IF('請假登錄'!AB8&lt;&gt;"",'請假登錄'!AB8,IF('設定'!$C$12="S","S",IF('設定'!$C$12="R",IF(MOD(INT((AH$13-'設定'!$B$4)/7)+IF('設定'!$D$12="",0,'設定'!$D$12),16)&lt;4,"A",IF(MOD(INT((AH$13-'設定'!$B$4)/7)+IF('設定'!$D$12="",0,'設定'!$D$12),16)&lt;8,"P",IF(MOD(INT((AH$13-'設定'!$B$4)/7)+IF('設定'!$D$12="",0,'設定'!$D$12),16)&lt;12,"N","P"))),"")))))</f>
        <v/>
      </c>
      <c r="AI17" s="25">
        <f>IF(AI$13="","",IF('設定'!$B$12="","",IF('請假登錄'!AC8&lt;&gt;"",'請假登錄'!AC8,IF('設定'!$C$12="S","S",IF('設定'!$C$12="R",IF(MOD(INT((AI$13-'設定'!$B$4)/7)+IF('設定'!$D$12="",0,'設定'!$D$12),16)&lt;4,"A",IF(MOD(INT((AI$13-'設定'!$B$4)/7)+IF('設定'!$D$12="",0,'設定'!$D$12),16)&lt;8,"P",IF(MOD(INT((AI$13-'設定'!$B$4)/7)+IF('設定'!$D$12="",0,'設定'!$D$12),16)&lt;12,"N","P"))),"")))))</f>
        <v/>
      </c>
      <c r="AJ17" s="25">
        <f>IF(AJ$13="","",IF('設定'!$B$12="","",IF('請假登錄'!AD8&lt;&gt;"",'請假登錄'!AD8,IF('設定'!$C$12="S","S",IF('設定'!$C$12="R",IF(MOD(INT((AJ$13-'設定'!$B$4)/7)+IF('設定'!$D$12="",0,'設定'!$D$12),16)&lt;4,"A",IF(MOD(INT((AJ$13-'設定'!$B$4)/7)+IF('設定'!$D$12="",0,'設定'!$D$12),16)&lt;8,"P",IF(MOD(INT((AJ$13-'設定'!$B$4)/7)+IF('設定'!$D$12="",0,'設定'!$D$12),16)&lt;12,"N","P"))),"")))))</f>
        <v/>
      </c>
      <c r="AK17" s="25">
        <f>IF(AK$13="","",IF('設定'!$B$12="","",IF('請假登錄'!AE8&lt;&gt;"",'請假登錄'!AE8,IF('設定'!$C$12="S","S",IF('設定'!$C$12="R",IF(MOD(INT((AK$13-'設定'!$B$4)/7)+IF('設定'!$D$12="",0,'設定'!$D$12),16)&lt;4,"A",IF(MOD(INT((AK$13-'設定'!$B$4)/7)+IF('設定'!$D$12="",0,'設定'!$D$12),16)&lt;8,"P",IF(MOD(INT((AK$13-'設定'!$B$4)/7)+IF('設定'!$D$12="",0,'設定'!$D$12),16)&lt;12,"N","P"))),"")))))</f>
        <v/>
      </c>
      <c r="AL17" s="25">
        <f>IF(AL$13="","",IF('設定'!$B$12="","",IF('請假登錄'!AF8&lt;&gt;"",'請假登錄'!AF8,IF('設定'!$C$12="S","S",IF('設定'!$C$12="R",IF(MOD(INT((AL$13-'設定'!$B$4)/7)+IF('設定'!$D$12="",0,'設定'!$D$12),16)&lt;4,"A",IF(MOD(INT((AL$13-'設定'!$B$4)/7)+IF('設定'!$D$12="",0,'設定'!$D$12),16)&lt;8,"P",IF(MOD(INT((AL$13-'設定'!$B$4)/7)+IF('設定'!$D$12="",0,'設定'!$D$12),16)&lt;12,"N","P"))),"")))))</f>
        <v/>
      </c>
      <c r="AM17" s="25">
        <f>IF(AM$13="","",IF('設定'!$B$12="","",IF('請假登錄'!AG8&lt;&gt;"",'請假登錄'!AG8,IF('設定'!$C$12="S","S",IF('設定'!$C$12="R",IF(MOD(INT((AM$13-'設定'!$B$4)/7)+IF('設定'!$D$12="",0,'設定'!$D$12),16)&lt;4,"A",IF(MOD(INT((AM$13-'設定'!$B$4)/7)+IF('設定'!$D$12="",0,'設定'!$D$12),16)&lt;8,"P",IF(MOD(INT((AM$13-'設定'!$B$4)/7)+IF('設定'!$D$12="",0,'設定'!$D$12),16)&lt;12,"N","P"))),"")))))</f>
        <v/>
      </c>
      <c r="AN17" s="25">
        <f>IF(AN$13="","",IF('設定'!$B$12="","",IF('請假登錄'!AH8&lt;&gt;"",'請假登錄'!AH8,IF('設定'!$C$12="S","S",IF('設定'!$C$12="R",IF(MOD(INT((AN$13-'設定'!$B$4)/7)+IF('設定'!$D$12="",0,'設定'!$D$12),16)&lt;4,"A",IF(MOD(INT((AN$13-'設定'!$B$4)/7)+IF('設定'!$D$12="",0,'設定'!$D$12),16)&lt;8,"P",IF(MOD(INT((AN$13-'設定'!$B$4)/7)+IF('設定'!$D$12="",0,'設定'!$D$12),16)&lt;12,"N","P"))),"")))))</f>
        <v/>
      </c>
      <c r="AO17" s="25">
        <f>IF(AO$13="","",IF('設定'!$B$12="","",IF('請假登錄'!AI8&lt;&gt;"",'請假登錄'!AI8,IF('設定'!$C$12="S","S",IF('設定'!$C$12="R",IF(MOD(INT((AO$13-'設定'!$B$4)/7)+IF('設定'!$D$12="",0,'設定'!$D$12),16)&lt;4,"A",IF(MOD(INT((AO$13-'設定'!$B$4)/7)+IF('設定'!$D$12="",0,'設定'!$D$12),16)&lt;8,"P",IF(MOD(INT((AO$13-'設定'!$B$4)/7)+IF('設定'!$D$12="",0,'設定'!$D$12),16)&lt;12,"N","P"))),"")))))</f>
        <v/>
      </c>
      <c r="AP17" s="25">
        <f>IF(AP$13="","",IF('設定'!$B$12="","",IF('請假登錄'!AJ8&lt;&gt;"",'請假登錄'!AJ8,IF('設定'!$C$12="S","S",IF('設定'!$C$12="R",IF(MOD(INT((AP$13-'設定'!$B$4)/7)+IF('設定'!$D$12="",0,'設定'!$D$12),16)&lt;4,"A",IF(MOD(INT((AP$13-'設定'!$B$4)/7)+IF('設定'!$D$12="",0,'設定'!$D$12),16)&lt;8,"P",IF(MOD(INT((AP$13-'設定'!$B$4)/7)+IF('設定'!$D$12="",0,'設定'!$D$12),16)&lt;12,"N","P"))),"")))))</f>
        <v/>
      </c>
      <c r="AQ17" s="25">
        <f>IF(AQ$13="","",IF('設定'!$B$12="","",IF('請假登錄'!AK8&lt;&gt;"",'請假登錄'!AK8,IF('設定'!$C$12="S","S",IF('設定'!$C$12="R",IF(MOD(INT((AQ$13-'設定'!$B$4)/7)+IF('設定'!$D$12="",0,'設定'!$D$12),16)&lt;4,"A",IF(MOD(INT((AQ$13-'設定'!$B$4)/7)+IF('設定'!$D$12="",0,'設定'!$D$12),16)&lt;8,"P",IF(MOD(INT((AQ$13-'設定'!$B$4)/7)+IF('設定'!$D$12="",0,'設定'!$D$12),16)&lt;12,"N","P"))),"")))))</f>
        <v/>
      </c>
      <c r="AR17" s="25">
        <f>IF(AR$13="","",IF('設定'!$B$12="","",IF('請假登錄'!AL8&lt;&gt;"",'請假登錄'!AL8,IF('設定'!$C$12="S","S",IF('設定'!$C$12="R",IF(MOD(INT((AR$13-'設定'!$B$4)/7)+IF('設定'!$D$12="",0,'設定'!$D$12),16)&lt;4,"A",IF(MOD(INT((AR$13-'設定'!$B$4)/7)+IF('設定'!$D$12="",0,'設定'!$D$12),16)&lt;8,"P",IF(MOD(INT((AR$13-'設定'!$B$4)/7)+IF('設定'!$D$12="",0,'設定'!$D$12),16)&lt;12,"N","P"))),"")))))</f>
        <v/>
      </c>
      <c r="AS17" s="25">
        <f>IF(AS$13="","",IF('設定'!$B$12="","",IF('請假登錄'!AM8&lt;&gt;"",'請假登錄'!AM8,IF('設定'!$C$12="S","S",IF('設定'!$C$12="R",IF(MOD(INT((AS$13-'設定'!$B$4)/7)+IF('設定'!$D$12="",0,'設定'!$D$12),16)&lt;4,"A",IF(MOD(INT((AS$13-'設定'!$B$4)/7)+IF('設定'!$D$12="",0,'設定'!$D$12),16)&lt;8,"P",IF(MOD(INT((AS$13-'設定'!$B$4)/7)+IF('設定'!$D$12="",0,'設定'!$D$12),16)&lt;12,"N","P"))),"")))))</f>
        <v/>
      </c>
      <c r="AT17" s="25">
        <f>IF(AT$13="","",IF('設定'!$B$12="","",IF('請假登錄'!AN8&lt;&gt;"",'請假登錄'!AN8,IF('設定'!$C$12="S","S",IF('設定'!$C$12="R",IF(MOD(INT((AT$13-'設定'!$B$4)/7)+IF('設定'!$D$12="",0,'設定'!$D$12),16)&lt;4,"A",IF(MOD(INT((AT$13-'設定'!$B$4)/7)+IF('設定'!$D$12="",0,'設定'!$D$12),16)&lt;8,"P",IF(MOD(INT((AT$13-'設定'!$B$4)/7)+IF('設定'!$D$12="",0,'設定'!$D$12),16)&lt;12,"N","P"))),"")))))</f>
        <v/>
      </c>
      <c r="AU17" s="25">
        <f>IF(AU$13="","",IF('設定'!$B$12="","",IF('請假登錄'!AO8&lt;&gt;"",'請假登錄'!AO8,IF('設定'!$C$12="S","S",IF('設定'!$C$12="R",IF(MOD(INT((AU$13-'設定'!$B$4)/7)+IF('設定'!$D$12="",0,'設定'!$D$12),16)&lt;4,"A",IF(MOD(INT((AU$13-'設定'!$B$4)/7)+IF('設定'!$D$12="",0,'設定'!$D$12),16)&lt;8,"P",IF(MOD(INT((AU$13-'設定'!$B$4)/7)+IF('設定'!$D$12="",0,'設定'!$D$12),16)&lt;12,"N","P"))),"")))))</f>
        <v/>
      </c>
      <c r="AV17" s="25">
        <f>IF(AV$13="","",IF('設定'!$B$12="","",IF('請假登錄'!AP8&lt;&gt;"",'請假登錄'!AP8,IF('設定'!$C$12="S","S",IF('設定'!$C$12="R",IF(MOD(INT((AV$13-'設定'!$B$4)/7)+IF('設定'!$D$12="",0,'設定'!$D$12),16)&lt;4,"A",IF(MOD(INT((AV$13-'設定'!$B$4)/7)+IF('設定'!$D$12="",0,'設定'!$D$12),16)&lt;8,"P",IF(MOD(INT((AV$13-'設定'!$B$4)/7)+IF('設定'!$D$12="",0,'設定'!$D$12),16)&lt;12,"N","P"))),"")))))</f>
        <v/>
      </c>
      <c r="AW17" s="25">
        <f>IF(AW$13="","",IF('設定'!$B$12="","",IF('請假登錄'!AQ8&lt;&gt;"",'請假登錄'!AQ8,IF('設定'!$C$12="S","S",IF('設定'!$C$12="R",IF(MOD(INT((AW$13-'設定'!$B$4)/7)+IF('設定'!$D$12="",0,'設定'!$D$12),16)&lt;4,"A",IF(MOD(INT((AW$13-'設定'!$B$4)/7)+IF('設定'!$D$12="",0,'設定'!$D$12),16)&lt;8,"P",IF(MOD(INT((AW$13-'設定'!$B$4)/7)+IF('設定'!$D$12="",0,'設定'!$D$12),16)&lt;12,"N","P"))),"")))))</f>
        <v/>
      </c>
      <c r="AX17" s="25">
        <f>IF(AX$13="","",IF('設定'!$B$12="","",IF('請假登錄'!AR8&lt;&gt;"",'請假登錄'!AR8,IF('設定'!$C$12="S","S",IF('設定'!$C$12="R",IF(MOD(INT((AX$13-'設定'!$B$4)/7)+IF('設定'!$D$12="",0,'設定'!$D$12),16)&lt;4,"A",IF(MOD(INT((AX$13-'設定'!$B$4)/7)+IF('設定'!$D$12="",0,'設定'!$D$12),16)&lt;8,"P",IF(MOD(INT((AX$13-'設定'!$B$4)/7)+IF('設定'!$D$12="",0,'設定'!$D$12),16)&lt;12,"N","P"))),"")))))</f>
        <v/>
      </c>
      <c r="AY17" s="25">
        <f>IF(AY$13="","",IF('設定'!$B$12="","",IF('請假登錄'!AS8&lt;&gt;"",'請假登錄'!AS8,IF('設定'!$C$12="S","S",IF('設定'!$C$12="R",IF(MOD(INT((AY$13-'設定'!$B$4)/7)+IF('設定'!$D$12="",0,'設定'!$D$12),16)&lt;4,"A",IF(MOD(INT((AY$13-'設定'!$B$4)/7)+IF('設定'!$D$12="",0,'設定'!$D$12),16)&lt;8,"P",IF(MOD(INT((AY$13-'設定'!$B$4)/7)+IF('設定'!$D$12="",0,'設定'!$D$12),16)&lt;12,"N","P"))),"")))))</f>
        <v/>
      </c>
      <c r="AZ17" s="25">
        <f>IF(AZ$13="","",IF('設定'!$B$12="","",IF('請假登錄'!AT8&lt;&gt;"",'請假登錄'!AT8,IF('設定'!$C$12="S","S",IF('設定'!$C$12="R",IF(MOD(INT((AZ$13-'設定'!$B$4)/7)+IF('設定'!$D$12="",0,'設定'!$D$12),16)&lt;4,"A",IF(MOD(INT((AZ$13-'設定'!$B$4)/7)+IF('設定'!$D$12="",0,'設定'!$D$12),16)&lt;8,"P",IF(MOD(INT((AZ$13-'設定'!$B$4)/7)+IF('設定'!$D$12="",0,'設定'!$D$12),16)&lt;12,"N","P"))),"")))))</f>
        <v/>
      </c>
      <c r="BA17" s="25">
        <f>IF(BA$13="","",IF('設定'!$B$12="","",IF('請假登錄'!AU8&lt;&gt;"",'請假登錄'!AU8,IF('設定'!$C$12="S","S",IF('設定'!$C$12="R",IF(MOD(INT((BA$13-'設定'!$B$4)/7)+IF('設定'!$D$12="",0,'設定'!$D$12),16)&lt;4,"A",IF(MOD(INT((BA$13-'設定'!$B$4)/7)+IF('設定'!$D$12="",0,'設定'!$D$12),16)&lt;8,"P",IF(MOD(INT((BA$13-'設定'!$B$4)/7)+IF('設定'!$D$12="",0,'設定'!$D$12),16)&lt;12,"N","P"))),"")))))</f>
        <v/>
      </c>
      <c r="BB17" s="25">
        <f>IF(BB$13="","",IF('設定'!$B$12="","",IF('請假登錄'!AV8&lt;&gt;"",'請假登錄'!AV8,IF('設定'!$C$12="S","S",IF('設定'!$C$12="R",IF(MOD(INT((BB$13-'設定'!$B$4)/7)+IF('設定'!$D$12="",0,'設定'!$D$12),16)&lt;4,"A",IF(MOD(INT((BB$13-'設定'!$B$4)/7)+IF('設定'!$D$12="",0,'設定'!$D$12),16)&lt;8,"P",IF(MOD(INT((BB$13-'設定'!$B$4)/7)+IF('設定'!$D$12="",0,'設定'!$D$12),16)&lt;12,"N","P"))),"")))))</f>
        <v/>
      </c>
      <c r="BC17" s="25">
        <f>IF(BC$13="","",IF('設定'!$B$12="","",IF('請假登錄'!AW8&lt;&gt;"",'請假登錄'!AW8,IF('設定'!$C$12="S","S",IF('設定'!$C$12="R",IF(MOD(INT((BC$13-'設定'!$B$4)/7)+IF('設定'!$D$12="",0,'設定'!$D$12),16)&lt;4,"A",IF(MOD(INT((BC$13-'設定'!$B$4)/7)+IF('設定'!$D$12="",0,'設定'!$D$12),16)&lt;8,"P",IF(MOD(INT((BC$13-'設定'!$B$4)/7)+IF('設定'!$D$12="",0,'設定'!$D$12),16)&lt;12,"N","P"))),"")))))</f>
        <v/>
      </c>
      <c r="BD17" s="25">
        <f>IF(BD$13="","",IF('設定'!$B$12="","",IF('請假登錄'!AX8&lt;&gt;"",'請假登錄'!AX8,IF('設定'!$C$12="S","S",IF('設定'!$C$12="R",IF(MOD(INT((BD$13-'設定'!$B$4)/7)+IF('設定'!$D$12="",0,'設定'!$D$12),16)&lt;4,"A",IF(MOD(INT((BD$13-'設定'!$B$4)/7)+IF('設定'!$D$12="",0,'設定'!$D$12),16)&lt;8,"P",IF(MOD(INT((BD$13-'設定'!$B$4)/7)+IF('設定'!$D$12="",0,'設定'!$D$12),16)&lt;12,"N","P"))),"")))))</f>
        <v/>
      </c>
      <c r="BE17" s="25">
        <f>IF(BE$13="","",IF('設定'!$B$12="","",IF('請假登錄'!AY8&lt;&gt;"",'請假登錄'!AY8,IF('設定'!$C$12="S","S",IF('設定'!$C$12="R",IF(MOD(INT((BE$13-'設定'!$B$4)/7)+IF('設定'!$D$12="",0,'設定'!$D$12),16)&lt;4,"A",IF(MOD(INT((BE$13-'設定'!$B$4)/7)+IF('設定'!$D$12="",0,'設定'!$D$12),16)&lt;8,"P",IF(MOD(INT((BE$13-'設定'!$B$4)/7)+IF('設定'!$D$12="",0,'設定'!$D$12),16)&lt;12,"N","P"))),"")))))</f>
        <v/>
      </c>
      <c r="BF17" s="25">
        <f>IF(BF$13="","",IF('設定'!$B$12="","",IF('請假登錄'!AZ8&lt;&gt;"",'請假登錄'!AZ8,IF('設定'!$C$12="S","S",IF('設定'!$C$12="R",IF(MOD(INT((BF$13-'設定'!$B$4)/7)+IF('設定'!$D$12="",0,'設定'!$D$12),16)&lt;4,"A",IF(MOD(INT((BF$13-'設定'!$B$4)/7)+IF('設定'!$D$12="",0,'設定'!$D$12),16)&lt;8,"P",IF(MOD(INT((BF$13-'設定'!$B$4)/7)+IF('設定'!$D$12="",0,'設定'!$D$12),16)&lt;12,"N","P"))),"")))))</f>
        <v/>
      </c>
      <c r="BG17" s="25">
        <f>IF(BG$13="","",IF('設定'!$B$12="","",IF('請假登錄'!BA8&lt;&gt;"",'請假登錄'!BA8,IF('設定'!$C$12="S","S",IF('設定'!$C$12="R",IF(MOD(INT((BG$13-'設定'!$B$4)/7)+IF('設定'!$D$12="",0,'設定'!$D$12),16)&lt;4,"A",IF(MOD(INT((BG$13-'設定'!$B$4)/7)+IF('設定'!$D$12="",0,'設定'!$D$12),16)&lt;8,"P",IF(MOD(INT((BG$13-'設定'!$B$4)/7)+IF('設定'!$D$12="",0,'設定'!$D$12),16)&lt;12,"N","P"))),"")))))</f>
        <v/>
      </c>
      <c r="BH17" s="25">
        <f>IF(BH$13="","",IF('設定'!$B$12="","",IF('請假登錄'!BB8&lt;&gt;"",'請假登錄'!BB8,IF('設定'!$C$12="S","S",IF('設定'!$C$12="R",IF(MOD(INT((BH$13-'設定'!$B$4)/7)+IF('設定'!$D$12="",0,'設定'!$D$12),16)&lt;4,"A",IF(MOD(INT((BH$13-'設定'!$B$4)/7)+IF('設定'!$D$12="",0,'設定'!$D$12),16)&lt;8,"P",IF(MOD(INT((BH$13-'設定'!$B$4)/7)+IF('設定'!$D$12="",0,'設定'!$D$12),16)&lt;12,"N","P"))),"")))))</f>
        <v/>
      </c>
    </row>
    <row r="18" ht="22" customHeight="1">
      <c r="A18" s="21">
        <f>'設定'!B13</f>
        <v/>
      </c>
      <c r="B18" s="23">
        <f>IF(A18="","",COUNTIF(H18:BH18,"AL"))</f>
        <v/>
      </c>
      <c r="C18" s="23">
        <f>IF(A18="","",'設定'!$B$5-B18)</f>
        <v/>
      </c>
      <c r="D18" s="23">
        <f>IF(A18="","",COUNTIF(H18:BH18,"SL"))</f>
        <v/>
      </c>
      <c r="E18" s="22">
        <f>IF(A18="","",F18+G18)</f>
        <v/>
      </c>
      <c r="F18" s="24" t="n">
        <v>0</v>
      </c>
      <c r="G18" s="23">
        <f>IF(A18="","",SUMPRODUCT(((H18:BH18="A")+(H18:BH18="P")+(H18:BH18="N")+(H18:BH18="S"))*(H$21:BH$21)))</f>
        <v/>
      </c>
      <c r="H18" s="25">
        <f>IF(H$13="","",IF('設定'!$B$13="","",IF('請假登錄'!B9&lt;&gt;"",'請假登錄'!B9,IF('設定'!$C$13="S","S",IF('設定'!$C$13="R",IF(MOD(INT((H$13-'設定'!$B$4)/7)+IF('設定'!$D$13="",0,'設定'!$D$13),16)&lt;4,"A",IF(MOD(INT((H$13-'設定'!$B$4)/7)+IF('設定'!$D$13="",0,'設定'!$D$13),16)&lt;8,"P",IF(MOD(INT((H$13-'設定'!$B$4)/7)+IF('設定'!$D$13="",0,'設定'!$D$13),16)&lt;12,"N","P"))),"")))))</f>
        <v/>
      </c>
      <c r="I18" s="25">
        <f>IF(I$13="","",IF('設定'!$B$13="","",IF('請假登錄'!C9&lt;&gt;"",'請假登錄'!C9,IF('設定'!$C$13="S","S",IF('設定'!$C$13="R",IF(MOD(INT((I$13-'設定'!$B$4)/7)+IF('設定'!$D$13="",0,'設定'!$D$13),16)&lt;4,"A",IF(MOD(INT((I$13-'設定'!$B$4)/7)+IF('設定'!$D$13="",0,'設定'!$D$13),16)&lt;8,"P",IF(MOD(INT((I$13-'設定'!$B$4)/7)+IF('設定'!$D$13="",0,'設定'!$D$13),16)&lt;12,"N","P"))),"")))))</f>
        <v/>
      </c>
      <c r="J18" s="25">
        <f>IF(J$13="","",IF('設定'!$B$13="","",IF('請假登錄'!D9&lt;&gt;"",'請假登錄'!D9,IF('設定'!$C$13="S","S",IF('設定'!$C$13="R",IF(MOD(INT((J$13-'設定'!$B$4)/7)+IF('設定'!$D$13="",0,'設定'!$D$13),16)&lt;4,"A",IF(MOD(INT((J$13-'設定'!$B$4)/7)+IF('設定'!$D$13="",0,'設定'!$D$13),16)&lt;8,"P",IF(MOD(INT((J$13-'設定'!$B$4)/7)+IF('設定'!$D$13="",0,'設定'!$D$13),16)&lt;12,"N","P"))),"")))))</f>
        <v/>
      </c>
      <c r="K18" s="25">
        <f>IF(K$13="","",IF('設定'!$B$13="","",IF('請假登錄'!E9&lt;&gt;"",'請假登錄'!E9,IF('設定'!$C$13="S","S",IF('設定'!$C$13="R",IF(MOD(INT((K$13-'設定'!$B$4)/7)+IF('設定'!$D$13="",0,'設定'!$D$13),16)&lt;4,"A",IF(MOD(INT((K$13-'設定'!$B$4)/7)+IF('設定'!$D$13="",0,'設定'!$D$13),16)&lt;8,"P",IF(MOD(INT((K$13-'設定'!$B$4)/7)+IF('設定'!$D$13="",0,'設定'!$D$13),16)&lt;12,"N","P"))),"")))))</f>
        <v/>
      </c>
      <c r="L18" s="25">
        <f>IF(L$13="","",IF('設定'!$B$13="","",IF('請假登錄'!F9&lt;&gt;"",'請假登錄'!F9,IF('設定'!$C$13="S","S",IF('設定'!$C$13="R",IF(MOD(INT((L$13-'設定'!$B$4)/7)+IF('設定'!$D$13="",0,'設定'!$D$13),16)&lt;4,"A",IF(MOD(INT((L$13-'設定'!$B$4)/7)+IF('設定'!$D$13="",0,'設定'!$D$13),16)&lt;8,"P",IF(MOD(INT((L$13-'設定'!$B$4)/7)+IF('設定'!$D$13="",0,'設定'!$D$13),16)&lt;12,"N","P"))),"")))))</f>
        <v/>
      </c>
      <c r="M18" s="25">
        <f>IF(M$13="","",IF('設定'!$B$13="","",IF('請假登錄'!G9&lt;&gt;"",'請假登錄'!G9,IF('設定'!$C$13="S","S",IF('設定'!$C$13="R",IF(MOD(INT((M$13-'設定'!$B$4)/7)+IF('設定'!$D$13="",0,'設定'!$D$13),16)&lt;4,"A",IF(MOD(INT((M$13-'設定'!$B$4)/7)+IF('設定'!$D$13="",0,'設定'!$D$13),16)&lt;8,"P",IF(MOD(INT((M$13-'設定'!$B$4)/7)+IF('設定'!$D$13="",0,'設定'!$D$13),16)&lt;12,"N","P"))),"")))))</f>
        <v/>
      </c>
      <c r="N18" s="25">
        <f>IF(N$13="","",IF('設定'!$B$13="","",IF('請假登錄'!H9&lt;&gt;"",'請假登錄'!H9,IF('設定'!$C$13="S","S",IF('設定'!$C$13="R",IF(MOD(INT((N$13-'設定'!$B$4)/7)+IF('設定'!$D$13="",0,'設定'!$D$13),16)&lt;4,"A",IF(MOD(INT((N$13-'設定'!$B$4)/7)+IF('設定'!$D$13="",0,'設定'!$D$13),16)&lt;8,"P",IF(MOD(INT((N$13-'設定'!$B$4)/7)+IF('設定'!$D$13="",0,'設定'!$D$13),16)&lt;12,"N","P"))),"")))))</f>
        <v/>
      </c>
      <c r="O18" s="25">
        <f>IF(O$13="","",IF('設定'!$B$13="","",IF('請假登錄'!I9&lt;&gt;"",'請假登錄'!I9,IF('設定'!$C$13="S","S",IF('設定'!$C$13="R",IF(MOD(INT((O$13-'設定'!$B$4)/7)+IF('設定'!$D$13="",0,'設定'!$D$13),16)&lt;4,"A",IF(MOD(INT((O$13-'設定'!$B$4)/7)+IF('設定'!$D$13="",0,'設定'!$D$13),16)&lt;8,"P",IF(MOD(INT((O$13-'設定'!$B$4)/7)+IF('設定'!$D$13="",0,'設定'!$D$13),16)&lt;12,"N","P"))),"")))))</f>
        <v/>
      </c>
      <c r="P18" s="25">
        <f>IF(P$13="","",IF('設定'!$B$13="","",IF('請假登錄'!J9&lt;&gt;"",'請假登錄'!J9,IF('設定'!$C$13="S","S",IF('設定'!$C$13="R",IF(MOD(INT((P$13-'設定'!$B$4)/7)+IF('設定'!$D$13="",0,'設定'!$D$13),16)&lt;4,"A",IF(MOD(INT((P$13-'設定'!$B$4)/7)+IF('設定'!$D$13="",0,'設定'!$D$13),16)&lt;8,"P",IF(MOD(INT((P$13-'設定'!$B$4)/7)+IF('設定'!$D$13="",0,'設定'!$D$13),16)&lt;12,"N","P"))),"")))))</f>
        <v/>
      </c>
      <c r="Q18" s="25">
        <f>IF(Q$13="","",IF('設定'!$B$13="","",IF('請假登錄'!K9&lt;&gt;"",'請假登錄'!K9,IF('設定'!$C$13="S","S",IF('設定'!$C$13="R",IF(MOD(INT((Q$13-'設定'!$B$4)/7)+IF('設定'!$D$13="",0,'設定'!$D$13),16)&lt;4,"A",IF(MOD(INT((Q$13-'設定'!$B$4)/7)+IF('設定'!$D$13="",0,'設定'!$D$13),16)&lt;8,"P",IF(MOD(INT((Q$13-'設定'!$B$4)/7)+IF('設定'!$D$13="",0,'設定'!$D$13),16)&lt;12,"N","P"))),"")))))</f>
        <v/>
      </c>
      <c r="R18" s="25">
        <f>IF(R$13="","",IF('設定'!$B$13="","",IF('請假登錄'!L9&lt;&gt;"",'請假登錄'!L9,IF('設定'!$C$13="S","S",IF('設定'!$C$13="R",IF(MOD(INT((R$13-'設定'!$B$4)/7)+IF('設定'!$D$13="",0,'設定'!$D$13),16)&lt;4,"A",IF(MOD(INT((R$13-'設定'!$B$4)/7)+IF('設定'!$D$13="",0,'設定'!$D$13),16)&lt;8,"P",IF(MOD(INT((R$13-'設定'!$B$4)/7)+IF('設定'!$D$13="",0,'設定'!$D$13),16)&lt;12,"N","P"))),"")))))</f>
        <v/>
      </c>
      <c r="S18" s="25">
        <f>IF(S$13="","",IF('設定'!$B$13="","",IF('請假登錄'!M9&lt;&gt;"",'請假登錄'!M9,IF('設定'!$C$13="S","S",IF('設定'!$C$13="R",IF(MOD(INT((S$13-'設定'!$B$4)/7)+IF('設定'!$D$13="",0,'設定'!$D$13),16)&lt;4,"A",IF(MOD(INT((S$13-'設定'!$B$4)/7)+IF('設定'!$D$13="",0,'設定'!$D$13),16)&lt;8,"P",IF(MOD(INT((S$13-'設定'!$B$4)/7)+IF('設定'!$D$13="",0,'設定'!$D$13),16)&lt;12,"N","P"))),"")))))</f>
        <v/>
      </c>
      <c r="T18" s="25">
        <f>IF(T$13="","",IF('設定'!$B$13="","",IF('請假登錄'!N9&lt;&gt;"",'請假登錄'!N9,IF('設定'!$C$13="S","S",IF('設定'!$C$13="R",IF(MOD(INT((T$13-'設定'!$B$4)/7)+IF('設定'!$D$13="",0,'設定'!$D$13),16)&lt;4,"A",IF(MOD(INT((T$13-'設定'!$B$4)/7)+IF('設定'!$D$13="",0,'設定'!$D$13),16)&lt;8,"P",IF(MOD(INT((T$13-'設定'!$B$4)/7)+IF('設定'!$D$13="",0,'設定'!$D$13),16)&lt;12,"N","P"))),"")))))</f>
        <v/>
      </c>
      <c r="U18" s="25">
        <f>IF(U$13="","",IF('設定'!$B$13="","",IF('請假登錄'!O9&lt;&gt;"",'請假登錄'!O9,IF('設定'!$C$13="S","S",IF('設定'!$C$13="R",IF(MOD(INT((U$13-'設定'!$B$4)/7)+IF('設定'!$D$13="",0,'設定'!$D$13),16)&lt;4,"A",IF(MOD(INT((U$13-'設定'!$B$4)/7)+IF('設定'!$D$13="",0,'設定'!$D$13),16)&lt;8,"P",IF(MOD(INT((U$13-'設定'!$B$4)/7)+IF('設定'!$D$13="",0,'設定'!$D$13),16)&lt;12,"N","P"))),"")))))</f>
        <v/>
      </c>
      <c r="V18" s="25">
        <f>IF(V$13="","",IF('設定'!$B$13="","",IF('請假登錄'!P9&lt;&gt;"",'請假登錄'!P9,IF('設定'!$C$13="S","S",IF('設定'!$C$13="R",IF(MOD(INT((V$13-'設定'!$B$4)/7)+IF('設定'!$D$13="",0,'設定'!$D$13),16)&lt;4,"A",IF(MOD(INT((V$13-'設定'!$B$4)/7)+IF('設定'!$D$13="",0,'設定'!$D$13),16)&lt;8,"P",IF(MOD(INT((V$13-'設定'!$B$4)/7)+IF('設定'!$D$13="",0,'設定'!$D$13),16)&lt;12,"N","P"))),"")))))</f>
        <v/>
      </c>
      <c r="W18" s="25">
        <f>IF(W$13="","",IF('設定'!$B$13="","",IF('請假登錄'!Q9&lt;&gt;"",'請假登錄'!Q9,IF('設定'!$C$13="S","S",IF('設定'!$C$13="R",IF(MOD(INT((W$13-'設定'!$B$4)/7)+IF('設定'!$D$13="",0,'設定'!$D$13),16)&lt;4,"A",IF(MOD(INT((W$13-'設定'!$B$4)/7)+IF('設定'!$D$13="",0,'設定'!$D$13),16)&lt;8,"P",IF(MOD(INT((W$13-'設定'!$B$4)/7)+IF('設定'!$D$13="",0,'設定'!$D$13),16)&lt;12,"N","P"))),"")))))</f>
        <v/>
      </c>
      <c r="X18" s="25">
        <f>IF(X$13="","",IF('設定'!$B$13="","",IF('請假登錄'!R9&lt;&gt;"",'請假登錄'!R9,IF('設定'!$C$13="S","S",IF('設定'!$C$13="R",IF(MOD(INT((X$13-'設定'!$B$4)/7)+IF('設定'!$D$13="",0,'設定'!$D$13),16)&lt;4,"A",IF(MOD(INT((X$13-'設定'!$B$4)/7)+IF('設定'!$D$13="",0,'設定'!$D$13),16)&lt;8,"P",IF(MOD(INT((X$13-'設定'!$B$4)/7)+IF('設定'!$D$13="",0,'設定'!$D$13),16)&lt;12,"N","P"))),"")))))</f>
        <v/>
      </c>
      <c r="Y18" s="25">
        <f>IF(Y$13="","",IF('設定'!$B$13="","",IF('請假登錄'!S9&lt;&gt;"",'請假登錄'!S9,IF('設定'!$C$13="S","S",IF('設定'!$C$13="R",IF(MOD(INT((Y$13-'設定'!$B$4)/7)+IF('設定'!$D$13="",0,'設定'!$D$13),16)&lt;4,"A",IF(MOD(INT((Y$13-'設定'!$B$4)/7)+IF('設定'!$D$13="",0,'設定'!$D$13),16)&lt;8,"P",IF(MOD(INT((Y$13-'設定'!$B$4)/7)+IF('設定'!$D$13="",0,'設定'!$D$13),16)&lt;12,"N","P"))),"")))))</f>
        <v/>
      </c>
      <c r="Z18" s="25">
        <f>IF(Z$13="","",IF('設定'!$B$13="","",IF('請假登錄'!T9&lt;&gt;"",'請假登錄'!T9,IF('設定'!$C$13="S","S",IF('設定'!$C$13="R",IF(MOD(INT((Z$13-'設定'!$B$4)/7)+IF('設定'!$D$13="",0,'設定'!$D$13),16)&lt;4,"A",IF(MOD(INT((Z$13-'設定'!$B$4)/7)+IF('設定'!$D$13="",0,'設定'!$D$13),16)&lt;8,"P",IF(MOD(INT((Z$13-'設定'!$B$4)/7)+IF('設定'!$D$13="",0,'設定'!$D$13),16)&lt;12,"N","P"))),"")))))</f>
        <v/>
      </c>
      <c r="AA18" s="25">
        <f>IF(AA$13="","",IF('設定'!$B$13="","",IF('請假登錄'!U9&lt;&gt;"",'請假登錄'!U9,IF('設定'!$C$13="S","S",IF('設定'!$C$13="R",IF(MOD(INT((AA$13-'設定'!$B$4)/7)+IF('設定'!$D$13="",0,'設定'!$D$13),16)&lt;4,"A",IF(MOD(INT((AA$13-'設定'!$B$4)/7)+IF('設定'!$D$13="",0,'設定'!$D$13),16)&lt;8,"P",IF(MOD(INT((AA$13-'設定'!$B$4)/7)+IF('設定'!$D$13="",0,'設定'!$D$13),16)&lt;12,"N","P"))),"")))))</f>
        <v/>
      </c>
      <c r="AB18" s="25">
        <f>IF(AB$13="","",IF('設定'!$B$13="","",IF('請假登錄'!V9&lt;&gt;"",'請假登錄'!V9,IF('設定'!$C$13="S","S",IF('設定'!$C$13="R",IF(MOD(INT((AB$13-'設定'!$B$4)/7)+IF('設定'!$D$13="",0,'設定'!$D$13),16)&lt;4,"A",IF(MOD(INT((AB$13-'設定'!$B$4)/7)+IF('設定'!$D$13="",0,'設定'!$D$13),16)&lt;8,"P",IF(MOD(INT((AB$13-'設定'!$B$4)/7)+IF('設定'!$D$13="",0,'設定'!$D$13),16)&lt;12,"N","P"))),"")))))</f>
        <v/>
      </c>
      <c r="AC18" s="25">
        <f>IF(AC$13="","",IF('設定'!$B$13="","",IF('請假登錄'!W9&lt;&gt;"",'請假登錄'!W9,IF('設定'!$C$13="S","S",IF('設定'!$C$13="R",IF(MOD(INT((AC$13-'設定'!$B$4)/7)+IF('設定'!$D$13="",0,'設定'!$D$13),16)&lt;4,"A",IF(MOD(INT((AC$13-'設定'!$B$4)/7)+IF('設定'!$D$13="",0,'設定'!$D$13),16)&lt;8,"P",IF(MOD(INT((AC$13-'設定'!$B$4)/7)+IF('設定'!$D$13="",0,'設定'!$D$13),16)&lt;12,"N","P"))),"")))))</f>
        <v/>
      </c>
      <c r="AD18" s="25">
        <f>IF(AD$13="","",IF('設定'!$B$13="","",IF('請假登錄'!X9&lt;&gt;"",'請假登錄'!X9,IF('設定'!$C$13="S","S",IF('設定'!$C$13="R",IF(MOD(INT((AD$13-'設定'!$B$4)/7)+IF('設定'!$D$13="",0,'設定'!$D$13),16)&lt;4,"A",IF(MOD(INT((AD$13-'設定'!$B$4)/7)+IF('設定'!$D$13="",0,'設定'!$D$13),16)&lt;8,"P",IF(MOD(INT((AD$13-'設定'!$B$4)/7)+IF('設定'!$D$13="",0,'設定'!$D$13),16)&lt;12,"N","P"))),"")))))</f>
        <v/>
      </c>
      <c r="AE18" s="25">
        <f>IF(AE$13="","",IF('設定'!$B$13="","",IF('請假登錄'!Y9&lt;&gt;"",'請假登錄'!Y9,IF('設定'!$C$13="S","S",IF('設定'!$C$13="R",IF(MOD(INT((AE$13-'設定'!$B$4)/7)+IF('設定'!$D$13="",0,'設定'!$D$13),16)&lt;4,"A",IF(MOD(INT((AE$13-'設定'!$B$4)/7)+IF('設定'!$D$13="",0,'設定'!$D$13),16)&lt;8,"P",IF(MOD(INT((AE$13-'設定'!$B$4)/7)+IF('設定'!$D$13="",0,'設定'!$D$13),16)&lt;12,"N","P"))),"")))))</f>
        <v/>
      </c>
      <c r="AF18" s="25">
        <f>IF(AF$13="","",IF('設定'!$B$13="","",IF('請假登錄'!Z9&lt;&gt;"",'請假登錄'!Z9,IF('設定'!$C$13="S","S",IF('設定'!$C$13="R",IF(MOD(INT((AF$13-'設定'!$B$4)/7)+IF('設定'!$D$13="",0,'設定'!$D$13),16)&lt;4,"A",IF(MOD(INT((AF$13-'設定'!$B$4)/7)+IF('設定'!$D$13="",0,'設定'!$D$13),16)&lt;8,"P",IF(MOD(INT((AF$13-'設定'!$B$4)/7)+IF('設定'!$D$13="",0,'設定'!$D$13),16)&lt;12,"N","P"))),"")))))</f>
        <v/>
      </c>
      <c r="AG18" s="25">
        <f>IF(AG$13="","",IF('設定'!$B$13="","",IF('請假登錄'!AA9&lt;&gt;"",'請假登錄'!AA9,IF('設定'!$C$13="S","S",IF('設定'!$C$13="R",IF(MOD(INT((AG$13-'設定'!$B$4)/7)+IF('設定'!$D$13="",0,'設定'!$D$13),16)&lt;4,"A",IF(MOD(INT((AG$13-'設定'!$B$4)/7)+IF('設定'!$D$13="",0,'設定'!$D$13),16)&lt;8,"P",IF(MOD(INT((AG$13-'設定'!$B$4)/7)+IF('設定'!$D$13="",0,'設定'!$D$13),16)&lt;12,"N","P"))),"")))))</f>
        <v/>
      </c>
      <c r="AH18" s="25">
        <f>IF(AH$13="","",IF('設定'!$B$13="","",IF('請假登錄'!AB9&lt;&gt;"",'請假登錄'!AB9,IF('設定'!$C$13="S","S",IF('設定'!$C$13="R",IF(MOD(INT((AH$13-'設定'!$B$4)/7)+IF('設定'!$D$13="",0,'設定'!$D$13),16)&lt;4,"A",IF(MOD(INT((AH$13-'設定'!$B$4)/7)+IF('設定'!$D$13="",0,'設定'!$D$13),16)&lt;8,"P",IF(MOD(INT((AH$13-'設定'!$B$4)/7)+IF('設定'!$D$13="",0,'設定'!$D$13),16)&lt;12,"N","P"))),"")))))</f>
        <v/>
      </c>
      <c r="AI18" s="25">
        <f>IF(AI$13="","",IF('設定'!$B$13="","",IF('請假登錄'!AC9&lt;&gt;"",'請假登錄'!AC9,IF('設定'!$C$13="S","S",IF('設定'!$C$13="R",IF(MOD(INT((AI$13-'設定'!$B$4)/7)+IF('設定'!$D$13="",0,'設定'!$D$13),16)&lt;4,"A",IF(MOD(INT((AI$13-'設定'!$B$4)/7)+IF('設定'!$D$13="",0,'設定'!$D$13),16)&lt;8,"P",IF(MOD(INT((AI$13-'設定'!$B$4)/7)+IF('設定'!$D$13="",0,'設定'!$D$13),16)&lt;12,"N","P"))),"")))))</f>
        <v/>
      </c>
      <c r="AJ18" s="25">
        <f>IF(AJ$13="","",IF('設定'!$B$13="","",IF('請假登錄'!AD9&lt;&gt;"",'請假登錄'!AD9,IF('設定'!$C$13="S","S",IF('設定'!$C$13="R",IF(MOD(INT((AJ$13-'設定'!$B$4)/7)+IF('設定'!$D$13="",0,'設定'!$D$13),16)&lt;4,"A",IF(MOD(INT((AJ$13-'設定'!$B$4)/7)+IF('設定'!$D$13="",0,'設定'!$D$13),16)&lt;8,"P",IF(MOD(INT((AJ$13-'設定'!$B$4)/7)+IF('設定'!$D$13="",0,'設定'!$D$13),16)&lt;12,"N","P"))),"")))))</f>
        <v/>
      </c>
      <c r="AK18" s="25">
        <f>IF(AK$13="","",IF('設定'!$B$13="","",IF('請假登錄'!AE9&lt;&gt;"",'請假登錄'!AE9,IF('設定'!$C$13="S","S",IF('設定'!$C$13="R",IF(MOD(INT((AK$13-'設定'!$B$4)/7)+IF('設定'!$D$13="",0,'設定'!$D$13),16)&lt;4,"A",IF(MOD(INT((AK$13-'設定'!$B$4)/7)+IF('設定'!$D$13="",0,'設定'!$D$13),16)&lt;8,"P",IF(MOD(INT((AK$13-'設定'!$B$4)/7)+IF('設定'!$D$13="",0,'設定'!$D$13),16)&lt;12,"N","P"))),"")))))</f>
        <v/>
      </c>
      <c r="AL18" s="25">
        <f>IF(AL$13="","",IF('設定'!$B$13="","",IF('請假登錄'!AF9&lt;&gt;"",'請假登錄'!AF9,IF('設定'!$C$13="S","S",IF('設定'!$C$13="R",IF(MOD(INT((AL$13-'設定'!$B$4)/7)+IF('設定'!$D$13="",0,'設定'!$D$13),16)&lt;4,"A",IF(MOD(INT((AL$13-'設定'!$B$4)/7)+IF('設定'!$D$13="",0,'設定'!$D$13),16)&lt;8,"P",IF(MOD(INT((AL$13-'設定'!$B$4)/7)+IF('設定'!$D$13="",0,'設定'!$D$13),16)&lt;12,"N","P"))),"")))))</f>
        <v/>
      </c>
      <c r="AM18" s="25">
        <f>IF(AM$13="","",IF('設定'!$B$13="","",IF('請假登錄'!AG9&lt;&gt;"",'請假登錄'!AG9,IF('設定'!$C$13="S","S",IF('設定'!$C$13="R",IF(MOD(INT((AM$13-'設定'!$B$4)/7)+IF('設定'!$D$13="",0,'設定'!$D$13),16)&lt;4,"A",IF(MOD(INT((AM$13-'設定'!$B$4)/7)+IF('設定'!$D$13="",0,'設定'!$D$13),16)&lt;8,"P",IF(MOD(INT((AM$13-'設定'!$B$4)/7)+IF('設定'!$D$13="",0,'設定'!$D$13),16)&lt;12,"N","P"))),"")))))</f>
        <v/>
      </c>
      <c r="AN18" s="25">
        <f>IF(AN$13="","",IF('設定'!$B$13="","",IF('請假登錄'!AH9&lt;&gt;"",'請假登錄'!AH9,IF('設定'!$C$13="S","S",IF('設定'!$C$13="R",IF(MOD(INT((AN$13-'設定'!$B$4)/7)+IF('設定'!$D$13="",0,'設定'!$D$13),16)&lt;4,"A",IF(MOD(INT((AN$13-'設定'!$B$4)/7)+IF('設定'!$D$13="",0,'設定'!$D$13),16)&lt;8,"P",IF(MOD(INT((AN$13-'設定'!$B$4)/7)+IF('設定'!$D$13="",0,'設定'!$D$13),16)&lt;12,"N","P"))),"")))))</f>
        <v/>
      </c>
      <c r="AO18" s="25">
        <f>IF(AO$13="","",IF('設定'!$B$13="","",IF('請假登錄'!AI9&lt;&gt;"",'請假登錄'!AI9,IF('設定'!$C$13="S","S",IF('設定'!$C$13="R",IF(MOD(INT((AO$13-'設定'!$B$4)/7)+IF('設定'!$D$13="",0,'設定'!$D$13),16)&lt;4,"A",IF(MOD(INT((AO$13-'設定'!$B$4)/7)+IF('設定'!$D$13="",0,'設定'!$D$13),16)&lt;8,"P",IF(MOD(INT((AO$13-'設定'!$B$4)/7)+IF('設定'!$D$13="",0,'設定'!$D$13),16)&lt;12,"N","P"))),"")))))</f>
        <v/>
      </c>
      <c r="AP18" s="25">
        <f>IF(AP$13="","",IF('設定'!$B$13="","",IF('請假登錄'!AJ9&lt;&gt;"",'請假登錄'!AJ9,IF('設定'!$C$13="S","S",IF('設定'!$C$13="R",IF(MOD(INT((AP$13-'設定'!$B$4)/7)+IF('設定'!$D$13="",0,'設定'!$D$13),16)&lt;4,"A",IF(MOD(INT((AP$13-'設定'!$B$4)/7)+IF('設定'!$D$13="",0,'設定'!$D$13),16)&lt;8,"P",IF(MOD(INT((AP$13-'設定'!$B$4)/7)+IF('設定'!$D$13="",0,'設定'!$D$13),16)&lt;12,"N","P"))),"")))))</f>
        <v/>
      </c>
      <c r="AQ18" s="25">
        <f>IF(AQ$13="","",IF('設定'!$B$13="","",IF('請假登錄'!AK9&lt;&gt;"",'請假登錄'!AK9,IF('設定'!$C$13="S","S",IF('設定'!$C$13="R",IF(MOD(INT((AQ$13-'設定'!$B$4)/7)+IF('設定'!$D$13="",0,'設定'!$D$13),16)&lt;4,"A",IF(MOD(INT((AQ$13-'設定'!$B$4)/7)+IF('設定'!$D$13="",0,'設定'!$D$13),16)&lt;8,"P",IF(MOD(INT((AQ$13-'設定'!$B$4)/7)+IF('設定'!$D$13="",0,'設定'!$D$13),16)&lt;12,"N","P"))),"")))))</f>
        <v/>
      </c>
      <c r="AR18" s="25">
        <f>IF(AR$13="","",IF('設定'!$B$13="","",IF('請假登錄'!AL9&lt;&gt;"",'請假登錄'!AL9,IF('設定'!$C$13="S","S",IF('設定'!$C$13="R",IF(MOD(INT((AR$13-'設定'!$B$4)/7)+IF('設定'!$D$13="",0,'設定'!$D$13),16)&lt;4,"A",IF(MOD(INT((AR$13-'設定'!$B$4)/7)+IF('設定'!$D$13="",0,'設定'!$D$13),16)&lt;8,"P",IF(MOD(INT((AR$13-'設定'!$B$4)/7)+IF('設定'!$D$13="",0,'設定'!$D$13),16)&lt;12,"N","P"))),"")))))</f>
        <v/>
      </c>
      <c r="AS18" s="25">
        <f>IF(AS$13="","",IF('設定'!$B$13="","",IF('請假登錄'!AM9&lt;&gt;"",'請假登錄'!AM9,IF('設定'!$C$13="S","S",IF('設定'!$C$13="R",IF(MOD(INT((AS$13-'設定'!$B$4)/7)+IF('設定'!$D$13="",0,'設定'!$D$13),16)&lt;4,"A",IF(MOD(INT((AS$13-'設定'!$B$4)/7)+IF('設定'!$D$13="",0,'設定'!$D$13),16)&lt;8,"P",IF(MOD(INT((AS$13-'設定'!$B$4)/7)+IF('設定'!$D$13="",0,'設定'!$D$13),16)&lt;12,"N","P"))),"")))))</f>
        <v/>
      </c>
      <c r="AT18" s="25">
        <f>IF(AT$13="","",IF('設定'!$B$13="","",IF('請假登錄'!AN9&lt;&gt;"",'請假登錄'!AN9,IF('設定'!$C$13="S","S",IF('設定'!$C$13="R",IF(MOD(INT((AT$13-'設定'!$B$4)/7)+IF('設定'!$D$13="",0,'設定'!$D$13),16)&lt;4,"A",IF(MOD(INT((AT$13-'設定'!$B$4)/7)+IF('設定'!$D$13="",0,'設定'!$D$13),16)&lt;8,"P",IF(MOD(INT((AT$13-'設定'!$B$4)/7)+IF('設定'!$D$13="",0,'設定'!$D$13),16)&lt;12,"N","P"))),"")))))</f>
        <v/>
      </c>
      <c r="AU18" s="25">
        <f>IF(AU$13="","",IF('設定'!$B$13="","",IF('請假登錄'!AO9&lt;&gt;"",'請假登錄'!AO9,IF('設定'!$C$13="S","S",IF('設定'!$C$13="R",IF(MOD(INT((AU$13-'設定'!$B$4)/7)+IF('設定'!$D$13="",0,'設定'!$D$13),16)&lt;4,"A",IF(MOD(INT((AU$13-'設定'!$B$4)/7)+IF('設定'!$D$13="",0,'設定'!$D$13),16)&lt;8,"P",IF(MOD(INT((AU$13-'設定'!$B$4)/7)+IF('設定'!$D$13="",0,'設定'!$D$13),16)&lt;12,"N","P"))),"")))))</f>
        <v/>
      </c>
      <c r="AV18" s="25">
        <f>IF(AV$13="","",IF('設定'!$B$13="","",IF('請假登錄'!AP9&lt;&gt;"",'請假登錄'!AP9,IF('設定'!$C$13="S","S",IF('設定'!$C$13="R",IF(MOD(INT((AV$13-'設定'!$B$4)/7)+IF('設定'!$D$13="",0,'設定'!$D$13),16)&lt;4,"A",IF(MOD(INT((AV$13-'設定'!$B$4)/7)+IF('設定'!$D$13="",0,'設定'!$D$13),16)&lt;8,"P",IF(MOD(INT((AV$13-'設定'!$B$4)/7)+IF('設定'!$D$13="",0,'設定'!$D$13),16)&lt;12,"N","P"))),"")))))</f>
        <v/>
      </c>
      <c r="AW18" s="25">
        <f>IF(AW$13="","",IF('設定'!$B$13="","",IF('請假登錄'!AQ9&lt;&gt;"",'請假登錄'!AQ9,IF('設定'!$C$13="S","S",IF('設定'!$C$13="R",IF(MOD(INT((AW$13-'設定'!$B$4)/7)+IF('設定'!$D$13="",0,'設定'!$D$13),16)&lt;4,"A",IF(MOD(INT((AW$13-'設定'!$B$4)/7)+IF('設定'!$D$13="",0,'設定'!$D$13),16)&lt;8,"P",IF(MOD(INT((AW$13-'設定'!$B$4)/7)+IF('設定'!$D$13="",0,'設定'!$D$13),16)&lt;12,"N","P"))),"")))))</f>
        <v/>
      </c>
      <c r="AX18" s="25">
        <f>IF(AX$13="","",IF('設定'!$B$13="","",IF('請假登錄'!AR9&lt;&gt;"",'請假登錄'!AR9,IF('設定'!$C$13="S","S",IF('設定'!$C$13="R",IF(MOD(INT((AX$13-'設定'!$B$4)/7)+IF('設定'!$D$13="",0,'設定'!$D$13),16)&lt;4,"A",IF(MOD(INT((AX$13-'設定'!$B$4)/7)+IF('設定'!$D$13="",0,'設定'!$D$13),16)&lt;8,"P",IF(MOD(INT((AX$13-'設定'!$B$4)/7)+IF('設定'!$D$13="",0,'設定'!$D$13),16)&lt;12,"N","P"))),"")))))</f>
        <v/>
      </c>
      <c r="AY18" s="25">
        <f>IF(AY$13="","",IF('設定'!$B$13="","",IF('請假登錄'!AS9&lt;&gt;"",'請假登錄'!AS9,IF('設定'!$C$13="S","S",IF('設定'!$C$13="R",IF(MOD(INT((AY$13-'設定'!$B$4)/7)+IF('設定'!$D$13="",0,'設定'!$D$13),16)&lt;4,"A",IF(MOD(INT((AY$13-'設定'!$B$4)/7)+IF('設定'!$D$13="",0,'設定'!$D$13),16)&lt;8,"P",IF(MOD(INT((AY$13-'設定'!$B$4)/7)+IF('設定'!$D$13="",0,'設定'!$D$13),16)&lt;12,"N","P"))),"")))))</f>
        <v/>
      </c>
      <c r="AZ18" s="25">
        <f>IF(AZ$13="","",IF('設定'!$B$13="","",IF('請假登錄'!AT9&lt;&gt;"",'請假登錄'!AT9,IF('設定'!$C$13="S","S",IF('設定'!$C$13="R",IF(MOD(INT((AZ$13-'設定'!$B$4)/7)+IF('設定'!$D$13="",0,'設定'!$D$13),16)&lt;4,"A",IF(MOD(INT((AZ$13-'設定'!$B$4)/7)+IF('設定'!$D$13="",0,'設定'!$D$13),16)&lt;8,"P",IF(MOD(INT((AZ$13-'設定'!$B$4)/7)+IF('設定'!$D$13="",0,'設定'!$D$13),16)&lt;12,"N","P"))),"")))))</f>
        <v/>
      </c>
      <c r="BA18" s="25">
        <f>IF(BA$13="","",IF('設定'!$B$13="","",IF('請假登錄'!AU9&lt;&gt;"",'請假登錄'!AU9,IF('設定'!$C$13="S","S",IF('設定'!$C$13="R",IF(MOD(INT((BA$13-'設定'!$B$4)/7)+IF('設定'!$D$13="",0,'設定'!$D$13),16)&lt;4,"A",IF(MOD(INT((BA$13-'設定'!$B$4)/7)+IF('設定'!$D$13="",0,'設定'!$D$13),16)&lt;8,"P",IF(MOD(INT((BA$13-'設定'!$B$4)/7)+IF('設定'!$D$13="",0,'設定'!$D$13),16)&lt;12,"N","P"))),"")))))</f>
        <v/>
      </c>
      <c r="BB18" s="25">
        <f>IF(BB$13="","",IF('設定'!$B$13="","",IF('請假登錄'!AV9&lt;&gt;"",'請假登錄'!AV9,IF('設定'!$C$13="S","S",IF('設定'!$C$13="R",IF(MOD(INT((BB$13-'設定'!$B$4)/7)+IF('設定'!$D$13="",0,'設定'!$D$13),16)&lt;4,"A",IF(MOD(INT((BB$13-'設定'!$B$4)/7)+IF('設定'!$D$13="",0,'設定'!$D$13),16)&lt;8,"P",IF(MOD(INT((BB$13-'設定'!$B$4)/7)+IF('設定'!$D$13="",0,'設定'!$D$13),16)&lt;12,"N","P"))),"")))))</f>
        <v/>
      </c>
      <c r="BC18" s="25">
        <f>IF(BC$13="","",IF('設定'!$B$13="","",IF('請假登錄'!AW9&lt;&gt;"",'請假登錄'!AW9,IF('設定'!$C$13="S","S",IF('設定'!$C$13="R",IF(MOD(INT((BC$13-'設定'!$B$4)/7)+IF('設定'!$D$13="",0,'設定'!$D$13),16)&lt;4,"A",IF(MOD(INT((BC$13-'設定'!$B$4)/7)+IF('設定'!$D$13="",0,'設定'!$D$13),16)&lt;8,"P",IF(MOD(INT((BC$13-'設定'!$B$4)/7)+IF('設定'!$D$13="",0,'設定'!$D$13),16)&lt;12,"N","P"))),"")))))</f>
        <v/>
      </c>
      <c r="BD18" s="25">
        <f>IF(BD$13="","",IF('設定'!$B$13="","",IF('請假登錄'!AX9&lt;&gt;"",'請假登錄'!AX9,IF('設定'!$C$13="S","S",IF('設定'!$C$13="R",IF(MOD(INT((BD$13-'設定'!$B$4)/7)+IF('設定'!$D$13="",0,'設定'!$D$13),16)&lt;4,"A",IF(MOD(INT((BD$13-'設定'!$B$4)/7)+IF('設定'!$D$13="",0,'設定'!$D$13),16)&lt;8,"P",IF(MOD(INT((BD$13-'設定'!$B$4)/7)+IF('設定'!$D$13="",0,'設定'!$D$13),16)&lt;12,"N","P"))),"")))))</f>
        <v/>
      </c>
      <c r="BE18" s="25">
        <f>IF(BE$13="","",IF('設定'!$B$13="","",IF('請假登錄'!AY9&lt;&gt;"",'請假登錄'!AY9,IF('設定'!$C$13="S","S",IF('設定'!$C$13="R",IF(MOD(INT((BE$13-'設定'!$B$4)/7)+IF('設定'!$D$13="",0,'設定'!$D$13),16)&lt;4,"A",IF(MOD(INT((BE$13-'設定'!$B$4)/7)+IF('設定'!$D$13="",0,'設定'!$D$13),16)&lt;8,"P",IF(MOD(INT((BE$13-'設定'!$B$4)/7)+IF('設定'!$D$13="",0,'設定'!$D$13),16)&lt;12,"N","P"))),"")))))</f>
        <v/>
      </c>
      <c r="BF18" s="25">
        <f>IF(BF$13="","",IF('設定'!$B$13="","",IF('請假登錄'!AZ9&lt;&gt;"",'請假登錄'!AZ9,IF('設定'!$C$13="S","S",IF('設定'!$C$13="R",IF(MOD(INT((BF$13-'設定'!$B$4)/7)+IF('設定'!$D$13="",0,'設定'!$D$13),16)&lt;4,"A",IF(MOD(INT((BF$13-'設定'!$B$4)/7)+IF('設定'!$D$13="",0,'設定'!$D$13),16)&lt;8,"P",IF(MOD(INT((BF$13-'設定'!$B$4)/7)+IF('設定'!$D$13="",0,'設定'!$D$13),16)&lt;12,"N","P"))),"")))))</f>
        <v/>
      </c>
      <c r="BG18" s="25">
        <f>IF(BG$13="","",IF('設定'!$B$13="","",IF('請假登錄'!BA9&lt;&gt;"",'請假登錄'!BA9,IF('設定'!$C$13="S","S",IF('設定'!$C$13="R",IF(MOD(INT((BG$13-'設定'!$B$4)/7)+IF('設定'!$D$13="",0,'設定'!$D$13),16)&lt;4,"A",IF(MOD(INT((BG$13-'設定'!$B$4)/7)+IF('設定'!$D$13="",0,'設定'!$D$13),16)&lt;8,"P",IF(MOD(INT((BG$13-'設定'!$B$4)/7)+IF('設定'!$D$13="",0,'設定'!$D$13),16)&lt;12,"N","P"))),"")))))</f>
        <v/>
      </c>
      <c r="BH18" s="25">
        <f>IF(BH$13="","",IF('設定'!$B$13="","",IF('請假登錄'!BB9&lt;&gt;"",'請假登錄'!BB9,IF('設定'!$C$13="S","S",IF('設定'!$C$13="R",IF(MOD(INT((BH$13-'設定'!$B$4)/7)+IF('設定'!$D$13="",0,'設定'!$D$13),16)&lt;4,"A",IF(MOD(INT((BH$13-'設定'!$B$4)/7)+IF('設定'!$D$13="",0,'設定'!$D$13),16)&lt;8,"P",IF(MOD(INT((BH$13-'設定'!$B$4)/7)+IF('設定'!$D$13="",0,'設定'!$D$13),16)&lt;12,"N","P"))),"")))))</f>
        <v/>
      </c>
    </row>
    <row r="19" ht="22" customHeight="1">
      <c r="A19" s="21">
        <f>'設定'!B14</f>
        <v/>
      </c>
      <c r="B19" s="23">
        <f>IF(A19="","",COUNTIF(H19:BH19,"AL"))</f>
        <v/>
      </c>
      <c r="C19" s="23">
        <f>IF(A19="","",'設定'!$B$5-B19)</f>
        <v/>
      </c>
      <c r="D19" s="23">
        <f>IF(A19="","",COUNTIF(H19:BH19,"SL"))</f>
        <v/>
      </c>
      <c r="E19" s="22">
        <f>IF(A19="","",F19+G19)</f>
        <v/>
      </c>
      <c r="F19" s="24" t="n"/>
      <c r="G19" s="23">
        <f>IF(A19="","",SUMPRODUCT(((H19:BH19="A")+(H19:BH19="P")+(H19:BH19="N")+(H19:BH19="S"))*(H$21:BH$21)))</f>
        <v/>
      </c>
      <c r="H19" s="25">
        <f>IF(H$13="","",IF('設定'!$B$14="","",IF('請假登錄'!B10&lt;&gt;"",'請假登錄'!B10,IF('設定'!$C$14="S","S",IF('設定'!$C$14="R",IF(MOD(INT((H$13-'設定'!$B$4)/7)+IF('設定'!$D$14="",0,'設定'!$D$14),16)&lt;4,"A",IF(MOD(INT((H$13-'設定'!$B$4)/7)+IF('設定'!$D$14="",0,'設定'!$D$14),16)&lt;8,"P",IF(MOD(INT((H$13-'設定'!$B$4)/7)+IF('設定'!$D$14="",0,'設定'!$D$14),16)&lt;12,"N","P"))),"")))))</f>
        <v/>
      </c>
      <c r="I19" s="25">
        <f>IF(I$13="","",IF('設定'!$B$14="","",IF('請假登錄'!C10&lt;&gt;"",'請假登錄'!C10,IF('設定'!$C$14="S","S",IF('設定'!$C$14="R",IF(MOD(INT((I$13-'設定'!$B$4)/7)+IF('設定'!$D$14="",0,'設定'!$D$14),16)&lt;4,"A",IF(MOD(INT((I$13-'設定'!$B$4)/7)+IF('設定'!$D$14="",0,'設定'!$D$14),16)&lt;8,"P",IF(MOD(INT((I$13-'設定'!$B$4)/7)+IF('設定'!$D$14="",0,'設定'!$D$14),16)&lt;12,"N","P"))),"")))))</f>
        <v/>
      </c>
      <c r="J19" s="25">
        <f>IF(J$13="","",IF('設定'!$B$14="","",IF('請假登錄'!D10&lt;&gt;"",'請假登錄'!D10,IF('設定'!$C$14="S","S",IF('設定'!$C$14="R",IF(MOD(INT((J$13-'設定'!$B$4)/7)+IF('設定'!$D$14="",0,'設定'!$D$14),16)&lt;4,"A",IF(MOD(INT((J$13-'設定'!$B$4)/7)+IF('設定'!$D$14="",0,'設定'!$D$14),16)&lt;8,"P",IF(MOD(INT((J$13-'設定'!$B$4)/7)+IF('設定'!$D$14="",0,'設定'!$D$14),16)&lt;12,"N","P"))),"")))))</f>
        <v/>
      </c>
      <c r="K19" s="25">
        <f>IF(K$13="","",IF('設定'!$B$14="","",IF('請假登錄'!E10&lt;&gt;"",'請假登錄'!E10,IF('設定'!$C$14="S","S",IF('設定'!$C$14="R",IF(MOD(INT((K$13-'設定'!$B$4)/7)+IF('設定'!$D$14="",0,'設定'!$D$14),16)&lt;4,"A",IF(MOD(INT((K$13-'設定'!$B$4)/7)+IF('設定'!$D$14="",0,'設定'!$D$14),16)&lt;8,"P",IF(MOD(INT((K$13-'設定'!$B$4)/7)+IF('設定'!$D$14="",0,'設定'!$D$14),16)&lt;12,"N","P"))),"")))))</f>
        <v/>
      </c>
      <c r="L19" s="25">
        <f>IF(L$13="","",IF('設定'!$B$14="","",IF('請假登錄'!F10&lt;&gt;"",'請假登錄'!F10,IF('設定'!$C$14="S","S",IF('設定'!$C$14="R",IF(MOD(INT((L$13-'設定'!$B$4)/7)+IF('設定'!$D$14="",0,'設定'!$D$14),16)&lt;4,"A",IF(MOD(INT((L$13-'設定'!$B$4)/7)+IF('設定'!$D$14="",0,'設定'!$D$14),16)&lt;8,"P",IF(MOD(INT((L$13-'設定'!$B$4)/7)+IF('設定'!$D$14="",0,'設定'!$D$14),16)&lt;12,"N","P"))),"")))))</f>
        <v/>
      </c>
      <c r="M19" s="25">
        <f>IF(M$13="","",IF('設定'!$B$14="","",IF('請假登錄'!G10&lt;&gt;"",'請假登錄'!G10,IF('設定'!$C$14="S","S",IF('設定'!$C$14="R",IF(MOD(INT((M$13-'設定'!$B$4)/7)+IF('設定'!$D$14="",0,'設定'!$D$14),16)&lt;4,"A",IF(MOD(INT((M$13-'設定'!$B$4)/7)+IF('設定'!$D$14="",0,'設定'!$D$14),16)&lt;8,"P",IF(MOD(INT((M$13-'設定'!$B$4)/7)+IF('設定'!$D$14="",0,'設定'!$D$14),16)&lt;12,"N","P"))),"")))))</f>
        <v/>
      </c>
      <c r="N19" s="25">
        <f>IF(N$13="","",IF('設定'!$B$14="","",IF('請假登錄'!H10&lt;&gt;"",'請假登錄'!H10,IF('設定'!$C$14="S","S",IF('設定'!$C$14="R",IF(MOD(INT((N$13-'設定'!$B$4)/7)+IF('設定'!$D$14="",0,'設定'!$D$14),16)&lt;4,"A",IF(MOD(INT((N$13-'設定'!$B$4)/7)+IF('設定'!$D$14="",0,'設定'!$D$14),16)&lt;8,"P",IF(MOD(INT((N$13-'設定'!$B$4)/7)+IF('設定'!$D$14="",0,'設定'!$D$14),16)&lt;12,"N","P"))),"")))))</f>
        <v/>
      </c>
      <c r="O19" s="25">
        <f>IF(O$13="","",IF('設定'!$B$14="","",IF('請假登錄'!I10&lt;&gt;"",'請假登錄'!I10,IF('設定'!$C$14="S","S",IF('設定'!$C$14="R",IF(MOD(INT((O$13-'設定'!$B$4)/7)+IF('設定'!$D$14="",0,'設定'!$D$14),16)&lt;4,"A",IF(MOD(INT((O$13-'設定'!$B$4)/7)+IF('設定'!$D$14="",0,'設定'!$D$14),16)&lt;8,"P",IF(MOD(INT((O$13-'設定'!$B$4)/7)+IF('設定'!$D$14="",0,'設定'!$D$14),16)&lt;12,"N","P"))),"")))))</f>
        <v/>
      </c>
      <c r="P19" s="25">
        <f>IF(P$13="","",IF('設定'!$B$14="","",IF('請假登錄'!J10&lt;&gt;"",'請假登錄'!J10,IF('設定'!$C$14="S","S",IF('設定'!$C$14="R",IF(MOD(INT((P$13-'設定'!$B$4)/7)+IF('設定'!$D$14="",0,'設定'!$D$14),16)&lt;4,"A",IF(MOD(INT((P$13-'設定'!$B$4)/7)+IF('設定'!$D$14="",0,'設定'!$D$14),16)&lt;8,"P",IF(MOD(INT((P$13-'設定'!$B$4)/7)+IF('設定'!$D$14="",0,'設定'!$D$14),16)&lt;12,"N","P"))),"")))))</f>
        <v/>
      </c>
      <c r="Q19" s="25">
        <f>IF(Q$13="","",IF('設定'!$B$14="","",IF('請假登錄'!K10&lt;&gt;"",'請假登錄'!K10,IF('設定'!$C$14="S","S",IF('設定'!$C$14="R",IF(MOD(INT((Q$13-'設定'!$B$4)/7)+IF('設定'!$D$14="",0,'設定'!$D$14),16)&lt;4,"A",IF(MOD(INT((Q$13-'設定'!$B$4)/7)+IF('設定'!$D$14="",0,'設定'!$D$14),16)&lt;8,"P",IF(MOD(INT((Q$13-'設定'!$B$4)/7)+IF('設定'!$D$14="",0,'設定'!$D$14),16)&lt;12,"N","P"))),"")))))</f>
        <v/>
      </c>
      <c r="R19" s="25">
        <f>IF(R$13="","",IF('設定'!$B$14="","",IF('請假登錄'!L10&lt;&gt;"",'請假登錄'!L10,IF('設定'!$C$14="S","S",IF('設定'!$C$14="R",IF(MOD(INT((R$13-'設定'!$B$4)/7)+IF('設定'!$D$14="",0,'設定'!$D$14),16)&lt;4,"A",IF(MOD(INT((R$13-'設定'!$B$4)/7)+IF('設定'!$D$14="",0,'設定'!$D$14),16)&lt;8,"P",IF(MOD(INT((R$13-'設定'!$B$4)/7)+IF('設定'!$D$14="",0,'設定'!$D$14),16)&lt;12,"N","P"))),"")))))</f>
        <v/>
      </c>
      <c r="S19" s="25">
        <f>IF(S$13="","",IF('設定'!$B$14="","",IF('請假登錄'!M10&lt;&gt;"",'請假登錄'!M10,IF('設定'!$C$14="S","S",IF('設定'!$C$14="R",IF(MOD(INT((S$13-'設定'!$B$4)/7)+IF('設定'!$D$14="",0,'設定'!$D$14),16)&lt;4,"A",IF(MOD(INT((S$13-'設定'!$B$4)/7)+IF('設定'!$D$14="",0,'設定'!$D$14),16)&lt;8,"P",IF(MOD(INT((S$13-'設定'!$B$4)/7)+IF('設定'!$D$14="",0,'設定'!$D$14),16)&lt;12,"N","P"))),"")))))</f>
        <v/>
      </c>
      <c r="T19" s="25">
        <f>IF(T$13="","",IF('設定'!$B$14="","",IF('請假登錄'!N10&lt;&gt;"",'請假登錄'!N10,IF('設定'!$C$14="S","S",IF('設定'!$C$14="R",IF(MOD(INT((T$13-'設定'!$B$4)/7)+IF('設定'!$D$14="",0,'設定'!$D$14),16)&lt;4,"A",IF(MOD(INT((T$13-'設定'!$B$4)/7)+IF('設定'!$D$14="",0,'設定'!$D$14),16)&lt;8,"P",IF(MOD(INT((T$13-'設定'!$B$4)/7)+IF('設定'!$D$14="",0,'設定'!$D$14),16)&lt;12,"N","P"))),"")))))</f>
        <v/>
      </c>
      <c r="U19" s="25">
        <f>IF(U$13="","",IF('設定'!$B$14="","",IF('請假登錄'!O10&lt;&gt;"",'請假登錄'!O10,IF('設定'!$C$14="S","S",IF('設定'!$C$14="R",IF(MOD(INT((U$13-'設定'!$B$4)/7)+IF('設定'!$D$14="",0,'設定'!$D$14),16)&lt;4,"A",IF(MOD(INT((U$13-'設定'!$B$4)/7)+IF('設定'!$D$14="",0,'設定'!$D$14),16)&lt;8,"P",IF(MOD(INT((U$13-'設定'!$B$4)/7)+IF('設定'!$D$14="",0,'設定'!$D$14),16)&lt;12,"N","P"))),"")))))</f>
        <v/>
      </c>
      <c r="V19" s="25">
        <f>IF(V$13="","",IF('設定'!$B$14="","",IF('請假登錄'!P10&lt;&gt;"",'請假登錄'!P10,IF('設定'!$C$14="S","S",IF('設定'!$C$14="R",IF(MOD(INT((V$13-'設定'!$B$4)/7)+IF('設定'!$D$14="",0,'設定'!$D$14),16)&lt;4,"A",IF(MOD(INT((V$13-'設定'!$B$4)/7)+IF('設定'!$D$14="",0,'設定'!$D$14),16)&lt;8,"P",IF(MOD(INT((V$13-'設定'!$B$4)/7)+IF('設定'!$D$14="",0,'設定'!$D$14),16)&lt;12,"N","P"))),"")))))</f>
        <v/>
      </c>
      <c r="W19" s="25">
        <f>IF(W$13="","",IF('設定'!$B$14="","",IF('請假登錄'!Q10&lt;&gt;"",'請假登錄'!Q10,IF('設定'!$C$14="S","S",IF('設定'!$C$14="R",IF(MOD(INT((W$13-'設定'!$B$4)/7)+IF('設定'!$D$14="",0,'設定'!$D$14),16)&lt;4,"A",IF(MOD(INT((W$13-'設定'!$B$4)/7)+IF('設定'!$D$14="",0,'設定'!$D$14),16)&lt;8,"P",IF(MOD(INT((W$13-'設定'!$B$4)/7)+IF('設定'!$D$14="",0,'設定'!$D$14),16)&lt;12,"N","P"))),"")))))</f>
        <v/>
      </c>
      <c r="X19" s="25">
        <f>IF(X$13="","",IF('設定'!$B$14="","",IF('請假登錄'!R10&lt;&gt;"",'請假登錄'!R10,IF('設定'!$C$14="S","S",IF('設定'!$C$14="R",IF(MOD(INT((X$13-'設定'!$B$4)/7)+IF('設定'!$D$14="",0,'設定'!$D$14),16)&lt;4,"A",IF(MOD(INT((X$13-'設定'!$B$4)/7)+IF('設定'!$D$14="",0,'設定'!$D$14),16)&lt;8,"P",IF(MOD(INT((X$13-'設定'!$B$4)/7)+IF('設定'!$D$14="",0,'設定'!$D$14),16)&lt;12,"N","P"))),"")))))</f>
        <v/>
      </c>
      <c r="Y19" s="25">
        <f>IF(Y$13="","",IF('設定'!$B$14="","",IF('請假登錄'!S10&lt;&gt;"",'請假登錄'!S10,IF('設定'!$C$14="S","S",IF('設定'!$C$14="R",IF(MOD(INT((Y$13-'設定'!$B$4)/7)+IF('設定'!$D$14="",0,'設定'!$D$14),16)&lt;4,"A",IF(MOD(INT((Y$13-'設定'!$B$4)/7)+IF('設定'!$D$14="",0,'設定'!$D$14),16)&lt;8,"P",IF(MOD(INT((Y$13-'設定'!$B$4)/7)+IF('設定'!$D$14="",0,'設定'!$D$14),16)&lt;12,"N","P"))),"")))))</f>
        <v/>
      </c>
      <c r="Z19" s="25">
        <f>IF(Z$13="","",IF('設定'!$B$14="","",IF('請假登錄'!T10&lt;&gt;"",'請假登錄'!T10,IF('設定'!$C$14="S","S",IF('設定'!$C$14="R",IF(MOD(INT((Z$13-'設定'!$B$4)/7)+IF('設定'!$D$14="",0,'設定'!$D$14),16)&lt;4,"A",IF(MOD(INT((Z$13-'設定'!$B$4)/7)+IF('設定'!$D$14="",0,'設定'!$D$14),16)&lt;8,"P",IF(MOD(INT((Z$13-'設定'!$B$4)/7)+IF('設定'!$D$14="",0,'設定'!$D$14),16)&lt;12,"N","P"))),"")))))</f>
        <v/>
      </c>
      <c r="AA19" s="25">
        <f>IF(AA$13="","",IF('設定'!$B$14="","",IF('請假登錄'!U10&lt;&gt;"",'請假登錄'!U10,IF('設定'!$C$14="S","S",IF('設定'!$C$14="R",IF(MOD(INT((AA$13-'設定'!$B$4)/7)+IF('設定'!$D$14="",0,'設定'!$D$14),16)&lt;4,"A",IF(MOD(INT((AA$13-'設定'!$B$4)/7)+IF('設定'!$D$14="",0,'設定'!$D$14),16)&lt;8,"P",IF(MOD(INT((AA$13-'設定'!$B$4)/7)+IF('設定'!$D$14="",0,'設定'!$D$14),16)&lt;12,"N","P"))),"")))))</f>
        <v/>
      </c>
      <c r="AB19" s="25">
        <f>IF(AB$13="","",IF('設定'!$B$14="","",IF('請假登錄'!V10&lt;&gt;"",'請假登錄'!V10,IF('設定'!$C$14="S","S",IF('設定'!$C$14="R",IF(MOD(INT((AB$13-'設定'!$B$4)/7)+IF('設定'!$D$14="",0,'設定'!$D$14),16)&lt;4,"A",IF(MOD(INT((AB$13-'設定'!$B$4)/7)+IF('設定'!$D$14="",0,'設定'!$D$14),16)&lt;8,"P",IF(MOD(INT((AB$13-'設定'!$B$4)/7)+IF('設定'!$D$14="",0,'設定'!$D$14),16)&lt;12,"N","P"))),"")))))</f>
        <v/>
      </c>
      <c r="AC19" s="25">
        <f>IF(AC$13="","",IF('設定'!$B$14="","",IF('請假登錄'!W10&lt;&gt;"",'請假登錄'!W10,IF('設定'!$C$14="S","S",IF('設定'!$C$14="R",IF(MOD(INT((AC$13-'設定'!$B$4)/7)+IF('設定'!$D$14="",0,'設定'!$D$14),16)&lt;4,"A",IF(MOD(INT((AC$13-'設定'!$B$4)/7)+IF('設定'!$D$14="",0,'設定'!$D$14),16)&lt;8,"P",IF(MOD(INT((AC$13-'設定'!$B$4)/7)+IF('設定'!$D$14="",0,'設定'!$D$14),16)&lt;12,"N","P"))),"")))))</f>
        <v/>
      </c>
      <c r="AD19" s="25">
        <f>IF(AD$13="","",IF('設定'!$B$14="","",IF('請假登錄'!X10&lt;&gt;"",'請假登錄'!X10,IF('設定'!$C$14="S","S",IF('設定'!$C$14="R",IF(MOD(INT((AD$13-'設定'!$B$4)/7)+IF('設定'!$D$14="",0,'設定'!$D$14),16)&lt;4,"A",IF(MOD(INT((AD$13-'設定'!$B$4)/7)+IF('設定'!$D$14="",0,'設定'!$D$14),16)&lt;8,"P",IF(MOD(INT((AD$13-'設定'!$B$4)/7)+IF('設定'!$D$14="",0,'設定'!$D$14),16)&lt;12,"N","P"))),"")))))</f>
        <v/>
      </c>
      <c r="AE19" s="25">
        <f>IF(AE$13="","",IF('設定'!$B$14="","",IF('請假登錄'!Y10&lt;&gt;"",'請假登錄'!Y10,IF('設定'!$C$14="S","S",IF('設定'!$C$14="R",IF(MOD(INT((AE$13-'設定'!$B$4)/7)+IF('設定'!$D$14="",0,'設定'!$D$14),16)&lt;4,"A",IF(MOD(INT((AE$13-'設定'!$B$4)/7)+IF('設定'!$D$14="",0,'設定'!$D$14),16)&lt;8,"P",IF(MOD(INT((AE$13-'設定'!$B$4)/7)+IF('設定'!$D$14="",0,'設定'!$D$14),16)&lt;12,"N","P"))),"")))))</f>
        <v/>
      </c>
      <c r="AF19" s="25">
        <f>IF(AF$13="","",IF('設定'!$B$14="","",IF('請假登錄'!Z10&lt;&gt;"",'請假登錄'!Z10,IF('設定'!$C$14="S","S",IF('設定'!$C$14="R",IF(MOD(INT((AF$13-'設定'!$B$4)/7)+IF('設定'!$D$14="",0,'設定'!$D$14),16)&lt;4,"A",IF(MOD(INT((AF$13-'設定'!$B$4)/7)+IF('設定'!$D$14="",0,'設定'!$D$14),16)&lt;8,"P",IF(MOD(INT((AF$13-'設定'!$B$4)/7)+IF('設定'!$D$14="",0,'設定'!$D$14),16)&lt;12,"N","P"))),"")))))</f>
        <v/>
      </c>
      <c r="AG19" s="25">
        <f>IF(AG$13="","",IF('設定'!$B$14="","",IF('請假登錄'!AA10&lt;&gt;"",'請假登錄'!AA10,IF('設定'!$C$14="S","S",IF('設定'!$C$14="R",IF(MOD(INT((AG$13-'設定'!$B$4)/7)+IF('設定'!$D$14="",0,'設定'!$D$14),16)&lt;4,"A",IF(MOD(INT((AG$13-'設定'!$B$4)/7)+IF('設定'!$D$14="",0,'設定'!$D$14),16)&lt;8,"P",IF(MOD(INT((AG$13-'設定'!$B$4)/7)+IF('設定'!$D$14="",0,'設定'!$D$14),16)&lt;12,"N","P"))),"")))))</f>
        <v/>
      </c>
      <c r="AH19" s="25">
        <f>IF(AH$13="","",IF('設定'!$B$14="","",IF('請假登錄'!AB10&lt;&gt;"",'請假登錄'!AB10,IF('設定'!$C$14="S","S",IF('設定'!$C$14="R",IF(MOD(INT((AH$13-'設定'!$B$4)/7)+IF('設定'!$D$14="",0,'設定'!$D$14),16)&lt;4,"A",IF(MOD(INT((AH$13-'設定'!$B$4)/7)+IF('設定'!$D$14="",0,'設定'!$D$14),16)&lt;8,"P",IF(MOD(INT((AH$13-'設定'!$B$4)/7)+IF('設定'!$D$14="",0,'設定'!$D$14),16)&lt;12,"N","P"))),"")))))</f>
        <v/>
      </c>
      <c r="AI19" s="25">
        <f>IF(AI$13="","",IF('設定'!$B$14="","",IF('請假登錄'!AC10&lt;&gt;"",'請假登錄'!AC10,IF('設定'!$C$14="S","S",IF('設定'!$C$14="R",IF(MOD(INT((AI$13-'設定'!$B$4)/7)+IF('設定'!$D$14="",0,'設定'!$D$14),16)&lt;4,"A",IF(MOD(INT((AI$13-'設定'!$B$4)/7)+IF('設定'!$D$14="",0,'設定'!$D$14),16)&lt;8,"P",IF(MOD(INT((AI$13-'設定'!$B$4)/7)+IF('設定'!$D$14="",0,'設定'!$D$14),16)&lt;12,"N","P"))),"")))))</f>
        <v/>
      </c>
      <c r="AJ19" s="25">
        <f>IF(AJ$13="","",IF('設定'!$B$14="","",IF('請假登錄'!AD10&lt;&gt;"",'請假登錄'!AD10,IF('設定'!$C$14="S","S",IF('設定'!$C$14="R",IF(MOD(INT((AJ$13-'設定'!$B$4)/7)+IF('設定'!$D$14="",0,'設定'!$D$14),16)&lt;4,"A",IF(MOD(INT((AJ$13-'設定'!$B$4)/7)+IF('設定'!$D$14="",0,'設定'!$D$14),16)&lt;8,"P",IF(MOD(INT((AJ$13-'設定'!$B$4)/7)+IF('設定'!$D$14="",0,'設定'!$D$14),16)&lt;12,"N","P"))),"")))))</f>
        <v/>
      </c>
      <c r="AK19" s="25">
        <f>IF(AK$13="","",IF('設定'!$B$14="","",IF('請假登錄'!AE10&lt;&gt;"",'請假登錄'!AE10,IF('設定'!$C$14="S","S",IF('設定'!$C$14="R",IF(MOD(INT((AK$13-'設定'!$B$4)/7)+IF('設定'!$D$14="",0,'設定'!$D$14),16)&lt;4,"A",IF(MOD(INT((AK$13-'設定'!$B$4)/7)+IF('設定'!$D$14="",0,'設定'!$D$14),16)&lt;8,"P",IF(MOD(INT((AK$13-'設定'!$B$4)/7)+IF('設定'!$D$14="",0,'設定'!$D$14),16)&lt;12,"N","P"))),"")))))</f>
        <v/>
      </c>
      <c r="AL19" s="25">
        <f>IF(AL$13="","",IF('設定'!$B$14="","",IF('請假登錄'!AF10&lt;&gt;"",'請假登錄'!AF10,IF('設定'!$C$14="S","S",IF('設定'!$C$14="R",IF(MOD(INT((AL$13-'設定'!$B$4)/7)+IF('設定'!$D$14="",0,'設定'!$D$14),16)&lt;4,"A",IF(MOD(INT((AL$13-'設定'!$B$4)/7)+IF('設定'!$D$14="",0,'設定'!$D$14),16)&lt;8,"P",IF(MOD(INT((AL$13-'設定'!$B$4)/7)+IF('設定'!$D$14="",0,'設定'!$D$14),16)&lt;12,"N","P"))),"")))))</f>
        <v/>
      </c>
      <c r="AM19" s="25">
        <f>IF(AM$13="","",IF('設定'!$B$14="","",IF('請假登錄'!AG10&lt;&gt;"",'請假登錄'!AG10,IF('設定'!$C$14="S","S",IF('設定'!$C$14="R",IF(MOD(INT((AM$13-'設定'!$B$4)/7)+IF('設定'!$D$14="",0,'設定'!$D$14),16)&lt;4,"A",IF(MOD(INT((AM$13-'設定'!$B$4)/7)+IF('設定'!$D$14="",0,'設定'!$D$14),16)&lt;8,"P",IF(MOD(INT((AM$13-'設定'!$B$4)/7)+IF('設定'!$D$14="",0,'設定'!$D$14),16)&lt;12,"N","P"))),"")))))</f>
        <v/>
      </c>
      <c r="AN19" s="25">
        <f>IF(AN$13="","",IF('設定'!$B$14="","",IF('請假登錄'!AH10&lt;&gt;"",'請假登錄'!AH10,IF('設定'!$C$14="S","S",IF('設定'!$C$14="R",IF(MOD(INT((AN$13-'設定'!$B$4)/7)+IF('設定'!$D$14="",0,'設定'!$D$14),16)&lt;4,"A",IF(MOD(INT((AN$13-'設定'!$B$4)/7)+IF('設定'!$D$14="",0,'設定'!$D$14),16)&lt;8,"P",IF(MOD(INT((AN$13-'設定'!$B$4)/7)+IF('設定'!$D$14="",0,'設定'!$D$14),16)&lt;12,"N","P"))),"")))))</f>
        <v/>
      </c>
      <c r="AO19" s="25">
        <f>IF(AO$13="","",IF('設定'!$B$14="","",IF('請假登錄'!AI10&lt;&gt;"",'請假登錄'!AI10,IF('設定'!$C$14="S","S",IF('設定'!$C$14="R",IF(MOD(INT((AO$13-'設定'!$B$4)/7)+IF('設定'!$D$14="",0,'設定'!$D$14),16)&lt;4,"A",IF(MOD(INT((AO$13-'設定'!$B$4)/7)+IF('設定'!$D$14="",0,'設定'!$D$14),16)&lt;8,"P",IF(MOD(INT((AO$13-'設定'!$B$4)/7)+IF('設定'!$D$14="",0,'設定'!$D$14),16)&lt;12,"N","P"))),"")))))</f>
        <v/>
      </c>
      <c r="AP19" s="25">
        <f>IF(AP$13="","",IF('設定'!$B$14="","",IF('請假登錄'!AJ10&lt;&gt;"",'請假登錄'!AJ10,IF('設定'!$C$14="S","S",IF('設定'!$C$14="R",IF(MOD(INT((AP$13-'設定'!$B$4)/7)+IF('設定'!$D$14="",0,'設定'!$D$14),16)&lt;4,"A",IF(MOD(INT((AP$13-'設定'!$B$4)/7)+IF('設定'!$D$14="",0,'設定'!$D$14),16)&lt;8,"P",IF(MOD(INT((AP$13-'設定'!$B$4)/7)+IF('設定'!$D$14="",0,'設定'!$D$14),16)&lt;12,"N","P"))),"")))))</f>
        <v/>
      </c>
      <c r="AQ19" s="25">
        <f>IF(AQ$13="","",IF('設定'!$B$14="","",IF('請假登錄'!AK10&lt;&gt;"",'請假登錄'!AK10,IF('設定'!$C$14="S","S",IF('設定'!$C$14="R",IF(MOD(INT((AQ$13-'設定'!$B$4)/7)+IF('設定'!$D$14="",0,'設定'!$D$14),16)&lt;4,"A",IF(MOD(INT((AQ$13-'設定'!$B$4)/7)+IF('設定'!$D$14="",0,'設定'!$D$14),16)&lt;8,"P",IF(MOD(INT((AQ$13-'設定'!$B$4)/7)+IF('設定'!$D$14="",0,'設定'!$D$14),16)&lt;12,"N","P"))),"")))))</f>
        <v/>
      </c>
      <c r="AR19" s="25">
        <f>IF(AR$13="","",IF('設定'!$B$14="","",IF('請假登錄'!AL10&lt;&gt;"",'請假登錄'!AL10,IF('設定'!$C$14="S","S",IF('設定'!$C$14="R",IF(MOD(INT((AR$13-'設定'!$B$4)/7)+IF('設定'!$D$14="",0,'設定'!$D$14),16)&lt;4,"A",IF(MOD(INT((AR$13-'設定'!$B$4)/7)+IF('設定'!$D$14="",0,'設定'!$D$14),16)&lt;8,"P",IF(MOD(INT((AR$13-'設定'!$B$4)/7)+IF('設定'!$D$14="",0,'設定'!$D$14),16)&lt;12,"N","P"))),"")))))</f>
        <v/>
      </c>
      <c r="AS19" s="25">
        <f>IF(AS$13="","",IF('設定'!$B$14="","",IF('請假登錄'!AM10&lt;&gt;"",'請假登錄'!AM10,IF('設定'!$C$14="S","S",IF('設定'!$C$14="R",IF(MOD(INT((AS$13-'設定'!$B$4)/7)+IF('設定'!$D$14="",0,'設定'!$D$14),16)&lt;4,"A",IF(MOD(INT((AS$13-'設定'!$B$4)/7)+IF('設定'!$D$14="",0,'設定'!$D$14),16)&lt;8,"P",IF(MOD(INT((AS$13-'設定'!$B$4)/7)+IF('設定'!$D$14="",0,'設定'!$D$14),16)&lt;12,"N","P"))),"")))))</f>
        <v/>
      </c>
      <c r="AT19" s="25">
        <f>IF(AT$13="","",IF('設定'!$B$14="","",IF('請假登錄'!AN10&lt;&gt;"",'請假登錄'!AN10,IF('設定'!$C$14="S","S",IF('設定'!$C$14="R",IF(MOD(INT((AT$13-'設定'!$B$4)/7)+IF('設定'!$D$14="",0,'設定'!$D$14),16)&lt;4,"A",IF(MOD(INT((AT$13-'設定'!$B$4)/7)+IF('設定'!$D$14="",0,'設定'!$D$14),16)&lt;8,"P",IF(MOD(INT((AT$13-'設定'!$B$4)/7)+IF('設定'!$D$14="",0,'設定'!$D$14),16)&lt;12,"N","P"))),"")))))</f>
        <v/>
      </c>
      <c r="AU19" s="25">
        <f>IF(AU$13="","",IF('設定'!$B$14="","",IF('請假登錄'!AO10&lt;&gt;"",'請假登錄'!AO10,IF('設定'!$C$14="S","S",IF('設定'!$C$14="R",IF(MOD(INT((AU$13-'設定'!$B$4)/7)+IF('設定'!$D$14="",0,'設定'!$D$14),16)&lt;4,"A",IF(MOD(INT((AU$13-'設定'!$B$4)/7)+IF('設定'!$D$14="",0,'設定'!$D$14),16)&lt;8,"P",IF(MOD(INT((AU$13-'設定'!$B$4)/7)+IF('設定'!$D$14="",0,'設定'!$D$14),16)&lt;12,"N","P"))),"")))))</f>
        <v/>
      </c>
      <c r="AV19" s="25">
        <f>IF(AV$13="","",IF('設定'!$B$14="","",IF('請假登錄'!AP10&lt;&gt;"",'請假登錄'!AP10,IF('設定'!$C$14="S","S",IF('設定'!$C$14="R",IF(MOD(INT((AV$13-'設定'!$B$4)/7)+IF('設定'!$D$14="",0,'設定'!$D$14),16)&lt;4,"A",IF(MOD(INT((AV$13-'設定'!$B$4)/7)+IF('設定'!$D$14="",0,'設定'!$D$14),16)&lt;8,"P",IF(MOD(INT((AV$13-'設定'!$B$4)/7)+IF('設定'!$D$14="",0,'設定'!$D$14),16)&lt;12,"N","P"))),"")))))</f>
        <v/>
      </c>
      <c r="AW19" s="25">
        <f>IF(AW$13="","",IF('設定'!$B$14="","",IF('請假登錄'!AQ10&lt;&gt;"",'請假登錄'!AQ10,IF('設定'!$C$14="S","S",IF('設定'!$C$14="R",IF(MOD(INT((AW$13-'設定'!$B$4)/7)+IF('設定'!$D$14="",0,'設定'!$D$14),16)&lt;4,"A",IF(MOD(INT((AW$13-'設定'!$B$4)/7)+IF('設定'!$D$14="",0,'設定'!$D$14),16)&lt;8,"P",IF(MOD(INT((AW$13-'設定'!$B$4)/7)+IF('設定'!$D$14="",0,'設定'!$D$14),16)&lt;12,"N","P"))),"")))))</f>
        <v/>
      </c>
      <c r="AX19" s="25">
        <f>IF(AX$13="","",IF('設定'!$B$14="","",IF('請假登錄'!AR10&lt;&gt;"",'請假登錄'!AR10,IF('設定'!$C$14="S","S",IF('設定'!$C$14="R",IF(MOD(INT((AX$13-'設定'!$B$4)/7)+IF('設定'!$D$14="",0,'設定'!$D$14),16)&lt;4,"A",IF(MOD(INT((AX$13-'設定'!$B$4)/7)+IF('設定'!$D$14="",0,'設定'!$D$14),16)&lt;8,"P",IF(MOD(INT((AX$13-'設定'!$B$4)/7)+IF('設定'!$D$14="",0,'設定'!$D$14),16)&lt;12,"N","P"))),"")))))</f>
        <v/>
      </c>
      <c r="AY19" s="25">
        <f>IF(AY$13="","",IF('設定'!$B$14="","",IF('請假登錄'!AS10&lt;&gt;"",'請假登錄'!AS10,IF('設定'!$C$14="S","S",IF('設定'!$C$14="R",IF(MOD(INT((AY$13-'設定'!$B$4)/7)+IF('設定'!$D$14="",0,'設定'!$D$14),16)&lt;4,"A",IF(MOD(INT((AY$13-'設定'!$B$4)/7)+IF('設定'!$D$14="",0,'設定'!$D$14),16)&lt;8,"P",IF(MOD(INT((AY$13-'設定'!$B$4)/7)+IF('設定'!$D$14="",0,'設定'!$D$14),16)&lt;12,"N","P"))),"")))))</f>
        <v/>
      </c>
      <c r="AZ19" s="25">
        <f>IF(AZ$13="","",IF('設定'!$B$14="","",IF('請假登錄'!AT10&lt;&gt;"",'請假登錄'!AT10,IF('設定'!$C$14="S","S",IF('設定'!$C$14="R",IF(MOD(INT((AZ$13-'設定'!$B$4)/7)+IF('設定'!$D$14="",0,'設定'!$D$14),16)&lt;4,"A",IF(MOD(INT((AZ$13-'設定'!$B$4)/7)+IF('設定'!$D$14="",0,'設定'!$D$14),16)&lt;8,"P",IF(MOD(INT((AZ$13-'設定'!$B$4)/7)+IF('設定'!$D$14="",0,'設定'!$D$14),16)&lt;12,"N","P"))),"")))))</f>
        <v/>
      </c>
      <c r="BA19" s="25">
        <f>IF(BA$13="","",IF('設定'!$B$14="","",IF('請假登錄'!AU10&lt;&gt;"",'請假登錄'!AU10,IF('設定'!$C$14="S","S",IF('設定'!$C$14="R",IF(MOD(INT((BA$13-'設定'!$B$4)/7)+IF('設定'!$D$14="",0,'設定'!$D$14),16)&lt;4,"A",IF(MOD(INT((BA$13-'設定'!$B$4)/7)+IF('設定'!$D$14="",0,'設定'!$D$14),16)&lt;8,"P",IF(MOD(INT((BA$13-'設定'!$B$4)/7)+IF('設定'!$D$14="",0,'設定'!$D$14),16)&lt;12,"N","P"))),"")))))</f>
        <v/>
      </c>
      <c r="BB19" s="25">
        <f>IF(BB$13="","",IF('設定'!$B$14="","",IF('請假登錄'!AV10&lt;&gt;"",'請假登錄'!AV10,IF('設定'!$C$14="S","S",IF('設定'!$C$14="R",IF(MOD(INT((BB$13-'設定'!$B$4)/7)+IF('設定'!$D$14="",0,'設定'!$D$14),16)&lt;4,"A",IF(MOD(INT((BB$13-'設定'!$B$4)/7)+IF('設定'!$D$14="",0,'設定'!$D$14),16)&lt;8,"P",IF(MOD(INT((BB$13-'設定'!$B$4)/7)+IF('設定'!$D$14="",0,'設定'!$D$14),16)&lt;12,"N","P"))),"")))))</f>
        <v/>
      </c>
      <c r="BC19" s="25">
        <f>IF(BC$13="","",IF('設定'!$B$14="","",IF('請假登錄'!AW10&lt;&gt;"",'請假登錄'!AW10,IF('設定'!$C$14="S","S",IF('設定'!$C$14="R",IF(MOD(INT((BC$13-'設定'!$B$4)/7)+IF('設定'!$D$14="",0,'設定'!$D$14),16)&lt;4,"A",IF(MOD(INT((BC$13-'設定'!$B$4)/7)+IF('設定'!$D$14="",0,'設定'!$D$14),16)&lt;8,"P",IF(MOD(INT((BC$13-'設定'!$B$4)/7)+IF('設定'!$D$14="",0,'設定'!$D$14),16)&lt;12,"N","P"))),"")))))</f>
        <v/>
      </c>
      <c r="BD19" s="25">
        <f>IF(BD$13="","",IF('設定'!$B$14="","",IF('請假登錄'!AX10&lt;&gt;"",'請假登錄'!AX10,IF('設定'!$C$14="S","S",IF('設定'!$C$14="R",IF(MOD(INT((BD$13-'設定'!$B$4)/7)+IF('設定'!$D$14="",0,'設定'!$D$14),16)&lt;4,"A",IF(MOD(INT((BD$13-'設定'!$B$4)/7)+IF('設定'!$D$14="",0,'設定'!$D$14),16)&lt;8,"P",IF(MOD(INT((BD$13-'設定'!$B$4)/7)+IF('設定'!$D$14="",0,'設定'!$D$14),16)&lt;12,"N","P"))),"")))))</f>
        <v/>
      </c>
      <c r="BE19" s="25">
        <f>IF(BE$13="","",IF('設定'!$B$14="","",IF('請假登錄'!AY10&lt;&gt;"",'請假登錄'!AY10,IF('設定'!$C$14="S","S",IF('設定'!$C$14="R",IF(MOD(INT((BE$13-'設定'!$B$4)/7)+IF('設定'!$D$14="",0,'設定'!$D$14),16)&lt;4,"A",IF(MOD(INT((BE$13-'設定'!$B$4)/7)+IF('設定'!$D$14="",0,'設定'!$D$14),16)&lt;8,"P",IF(MOD(INT((BE$13-'設定'!$B$4)/7)+IF('設定'!$D$14="",0,'設定'!$D$14),16)&lt;12,"N","P"))),"")))))</f>
        <v/>
      </c>
      <c r="BF19" s="25">
        <f>IF(BF$13="","",IF('設定'!$B$14="","",IF('請假登錄'!AZ10&lt;&gt;"",'請假登錄'!AZ10,IF('設定'!$C$14="S","S",IF('設定'!$C$14="R",IF(MOD(INT((BF$13-'設定'!$B$4)/7)+IF('設定'!$D$14="",0,'設定'!$D$14),16)&lt;4,"A",IF(MOD(INT((BF$13-'設定'!$B$4)/7)+IF('設定'!$D$14="",0,'設定'!$D$14),16)&lt;8,"P",IF(MOD(INT((BF$13-'設定'!$B$4)/7)+IF('設定'!$D$14="",0,'設定'!$D$14),16)&lt;12,"N","P"))),"")))))</f>
        <v/>
      </c>
      <c r="BG19" s="25">
        <f>IF(BG$13="","",IF('設定'!$B$14="","",IF('請假登錄'!BA10&lt;&gt;"",'請假登錄'!BA10,IF('設定'!$C$14="S","S",IF('設定'!$C$14="R",IF(MOD(INT((BG$13-'設定'!$B$4)/7)+IF('設定'!$D$14="",0,'設定'!$D$14),16)&lt;4,"A",IF(MOD(INT((BG$13-'設定'!$B$4)/7)+IF('設定'!$D$14="",0,'設定'!$D$14),16)&lt;8,"P",IF(MOD(INT((BG$13-'設定'!$B$4)/7)+IF('設定'!$D$14="",0,'設定'!$D$14),16)&lt;12,"N","P"))),"")))))</f>
        <v/>
      </c>
      <c r="BH19" s="25">
        <f>IF(BH$13="","",IF('設定'!$B$14="","",IF('請假登錄'!BB10&lt;&gt;"",'請假登錄'!BB10,IF('設定'!$C$14="S","S",IF('設定'!$C$14="R",IF(MOD(INT((BH$13-'設定'!$B$4)/7)+IF('設定'!$D$14="",0,'設定'!$D$14),16)&lt;4,"A",IF(MOD(INT((BH$13-'設定'!$B$4)/7)+IF('設定'!$D$14="",0,'設定'!$D$14),16)&lt;8,"P",IF(MOD(INT((BH$13-'設定'!$B$4)/7)+IF('設定'!$D$14="",0,'設定'!$D$14),16)&lt;12,"N","P"))),"")))))</f>
        <v/>
      </c>
    </row>
    <row r="20">
      <c r="A20" s="26" t="inlineStr">
        <is>
          <t>公眾假期</t>
        </is>
      </c>
      <c r="H20" s="27">
        <f>IF(H$13="","",IF(COUNTIFS(HolidayDates,"&gt;="&amp;H$13,HolidayDates,"&lt;"&amp;H$13+7,HolidayDates,"&lt;&gt;")=0,"","假"&amp;COUNTIFS(HolidayDates,"&gt;="&amp;H$13,HolidayDates,"&lt;"&amp;H$13+7,HolidayDates,"&lt;&gt;")))</f>
        <v/>
      </c>
      <c r="I20" s="27">
        <f>IF(I$13="","",IF(COUNTIFS(HolidayDates,"&gt;="&amp;I$13,HolidayDates,"&lt;"&amp;I$13+7,HolidayDates,"&lt;&gt;")=0,"","假"&amp;COUNTIFS(HolidayDates,"&gt;="&amp;I$13,HolidayDates,"&lt;"&amp;I$13+7,HolidayDates,"&lt;&gt;")))</f>
        <v/>
      </c>
      <c r="J20" s="27">
        <f>IF(J$13="","",IF(COUNTIFS(HolidayDates,"&gt;="&amp;J$13,HolidayDates,"&lt;"&amp;J$13+7,HolidayDates,"&lt;&gt;")=0,"","假"&amp;COUNTIFS(HolidayDates,"&gt;="&amp;J$13,HolidayDates,"&lt;"&amp;J$13+7,HolidayDates,"&lt;&gt;")))</f>
        <v/>
      </c>
      <c r="K20" s="27">
        <f>IF(K$13="","",IF(COUNTIFS(HolidayDates,"&gt;="&amp;K$13,HolidayDates,"&lt;"&amp;K$13+7,HolidayDates,"&lt;&gt;")=0,"","假"&amp;COUNTIFS(HolidayDates,"&gt;="&amp;K$13,HolidayDates,"&lt;"&amp;K$13+7,HolidayDates,"&lt;&gt;")))</f>
        <v/>
      </c>
      <c r="L20" s="27">
        <f>IF(L$13="","",IF(COUNTIFS(HolidayDates,"&gt;="&amp;L$13,HolidayDates,"&lt;"&amp;L$13+7,HolidayDates,"&lt;&gt;")=0,"","假"&amp;COUNTIFS(HolidayDates,"&gt;="&amp;L$13,HolidayDates,"&lt;"&amp;L$13+7,HolidayDates,"&lt;&gt;")))</f>
        <v/>
      </c>
      <c r="M20" s="27">
        <f>IF(M$13="","",IF(COUNTIFS(HolidayDates,"&gt;="&amp;M$13,HolidayDates,"&lt;"&amp;M$13+7,HolidayDates,"&lt;&gt;")=0,"","假"&amp;COUNTIFS(HolidayDates,"&gt;="&amp;M$13,HolidayDates,"&lt;"&amp;M$13+7,HolidayDates,"&lt;&gt;")))</f>
        <v/>
      </c>
      <c r="N20" s="27">
        <f>IF(N$13="","",IF(COUNTIFS(HolidayDates,"&gt;="&amp;N$13,HolidayDates,"&lt;"&amp;N$13+7,HolidayDates,"&lt;&gt;")=0,"","假"&amp;COUNTIFS(HolidayDates,"&gt;="&amp;N$13,HolidayDates,"&lt;"&amp;N$13+7,HolidayDates,"&lt;&gt;")))</f>
        <v/>
      </c>
      <c r="O20" s="27">
        <f>IF(O$13="","",IF(COUNTIFS(HolidayDates,"&gt;="&amp;O$13,HolidayDates,"&lt;"&amp;O$13+7,HolidayDates,"&lt;&gt;")=0,"","假"&amp;COUNTIFS(HolidayDates,"&gt;="&amp;O$13,HolidayDates,"&lt;"&amp;O$13+7,HolidayDates,"&lt;&gt;")))</f>
        <v/>
      </c>
      <c r="P20" s="27">
        <f>IF(P$13="","",IF(COUNTIFS(HolidayDates,"&gt;="&amp;P$13,HolidayDates,"&lt;"&amp;P$13+7,HolidayDates,"&lt;&gt;")=0,"","假"&amp;COUNTIFS(HolidayDates,"&gt;="&amp;P$13,HolidayDates,"&lt;"&amp;P$13+7,HolidayDates,"&lt;&gt;")))</f>
        <v/>
      </c>
      <c r="Q20" s="27">
        <f>IF(Q$13="","",IF(COUNTIFS(HolidayDates,"&gt;="&amp;Q$13,HolidayDates,"&lt;"&amp;Q$13+7,HolidayDates,"&lt;&gt;")=0,"","假"&amp;COUNTIFS(HolidayDates,"&gt;="&amp;Q$13,HolidayDates,"&lt;"&amp;Q$13+7,HolidayDates,"&lt;&gt;")))</f>
        <v/>
      </c>
      <c r="R20" s="27">
        <f>IF(R$13="","",IF(COUNTIFS(HolidayDates,"&gt;="&amp;R$13,HolidayDates,"&lt;"&amp;R$13+7,HolidayDates,"&lt;&gt;")=0,"","假"&amp;COUNTIFS(HolidayDates,"&gt;="&amp;R$13,HolidayDates,"&lt;"&amp;R$13+7,HolidayDates,"&lt;&gt;")))</f>
        <v/>
      </c>
      <c r="S20" s="27">
        <f>IF(S$13="","",IF(COUNTIFS(HolidayDates,"&gt;="&amp;S$13,HolidayDates,"&lt;"&amp;S$13+7,HolidayDates,"&lt;&gt;")=0,"","假"&amp;COUNTIFS(HolidayDates,"&gt;="&amp;S$13,HolidayDates,"&lt;"&amp;S$13+7,HolidayDates,"&lt;&gt;")))</f>
        <v/>
      </c>
      <c r="T20" s="27">
        <f>IF(T$13="","",IF(COUNTIFS(HolidayDates,"&gt;="&amp;T$13,HolidayDates,"&lt;"&amp;T$13+7,HolidayDates,"&lt;&gt;")=0,"","假"&amp;COUNTIFS(HolidayDates,"&gt;="&amp;T$13,HolidayDates,"&lt;"&amp;T$13+7,HolidayDates,"&lt;&gt;")))</f>
        <v/>
      </c>
      <c r="U20" s="27">
        <f>IF(U$13="","",IF(COUNTIFS(HolidayDates,"&gt;="&amp;U$13,HolidayDates,"&lt;"&amp;U$13+7,HolidayDates,"&lt;&gt;")=0,"","假"&amp;COUNTIFS(HolidayDates,"&gt;="&amp;U$13,HolidayDates,"&lt;"&amp;U$13+7,HolidayDates,"&lt;&gt;")))</f>
        <v/>
      </c>
      <c r="V20" s="27">
        <f>IF(V$13="","",IF(COUNTIFS(HolidayDates,"&gt;="&amp;V$13,HolidayDates,"&lt;"&amp;V$13+7,HolidayDates,"&lt;&gt;")=0,"","假"&amp;COUNTIFS(HolidayDates,"&gt;="&amp;V$13,HolidayDates,"&lt;"&amp;V$13+7,HolidayDates,"&lt;&gt;")))</f>
        <v/>
      </c>
      <c r="W20" s="27">
        <f>IF(W$13="","",IF(COUNTIFS(HolidayDates,"&gt;="&amp;W$13,HolidayDates,"&lt;"&amp;W$13+7,HolidayDates,"&lt;&gt;")=0,"","假"&amp;COUNTIFS(HolidayDates,"&gt;="&amp;W$13,HolidayDates,"&lt;"&amp;W$13+7,HolidayDates,"&lt;&gt;")))</f>
        <v/>
      </c>
      <c r="X20" s="27">
        <f>IF(X$13="","",IF(COUNTIFS(HolidayDates,"&gt;="&amp;X$13,HolidayDates,"&lt;"&amp;X$13+7,HolidayDates,"&lt;&gt;")=0,"","假"&amp;COUNTIFS(HolidayDates,"&gt;="&amp;X$13,HolidayDates,"&lt;"&amp;X$13+7,HolidayDates,"&lt;&gt;")))</f>
        <v/>
      </c>
      <c r="Y20" s="27">
        <f>IF(Y$13="","",IF(COUNTIFS(HolidayDates,"&gt;="&amp;Y$13,HolidayDates,"&lt;"&amp;Y$13+7,HolidayDates,"&lt;&gt;")=0,"","假"&amp;COUNTIFS(HolidayDates,"&gt;="&amp;Y$13,HolidayDates,"&lt;"&amp;Y$13+7,HolidayDates,"&lt;&gt;")))</f>
        <v/>
      </c>
      <c r="Z20" s="27">
        <f>IF(Z$13="","",IF(COUNTIFS(HolidayDates,"&gt;="&amp;Z$13,HolidayDates,"&lt;"&amp;Z$13+7,HolidayDates,"&lt;&gt;")=0,"","假"&amp;COUNTIFS(HolidayDates,"&gt;="&amp;Z$13,HolidayDates,"&lt;"&amp;Z$13+7,HolidayDates,"&lt;&gt;")))</f>
        <v/>
      </c>
      <c r="AA20" s="27">
        <f>IF(AA$13="","",IF(COUNTIFS(HolidayDates,"&gt;="&amp;AA$13,HolidayDates,"&lt;"&amp;AA$13+7,HolidayDates,"&lt;&gt;")=0,"","假"&amp;COUNTIFS(HolidayDates,"&gt;="&amp;AA$13,HolidayDates,"&lt;"&amp;AA$13+7,HolidayDates,"&lt;&gt;")))</f>
        <v/>
      </c>
      <c r="AB20" s="27">
        <f>IF(AB$13="","",IF(COUNTIFS(HolidayDates,"&gt;="&amp;AB$13,HolidayDates,"&lt;"&amp;AB$13+7,HolidayDates,"&lt;&gt;")=0,"","假"&amp;COUNTIFS(HolidayDates,"&gt;="&amp;AB$13,HolidayDates,"&lt;"&amp;AB$13+7,HolidayDates,"&lt;&gt;")))</f>
        <v/>
      </c>
      <c r="AC20" s="27">
        <f>IF(AC$13="","",IF(COUNTIFS(HolidayDates,"&gt;="&amp;AC$13,HolidayDates,"&lt;"&amp;AC$13+7,HolidayDates,"&lt;&gt;")=0,"","假"&amp;COUNTIFS(HolidayDates,"&gt;="&amp;AC$13,HolidayDates,"&lt;"&amp;AC$13+7,HolidayDates,"&lt;&gt;")))</f>
        <v/>
      </c>
      <c r="AD20" s="27">
        <f>IF(AD$13="","",IF(COUNTIFS(HolidayDates,"&gt;="&amp;AD$13,HolidayDates,"&lt;"&amp;AD$13+7,HolidayDates,"&lt;&gt;")=0,"","假"&amp;COUNTIFS(HolidayDates,"&gt;="&amp;AD$13,HolidayDates,"&lt;"&amp;AD$13+7,HolidayDates,"&lt;&gt;")))</f>
        <v/>
      </c>
      <c r="AE20" s="27">
        <f>IF(AE$13="","",IF(COUNTIFS(HolidayDates,"&gt;="&amp;AE$13,HolidayDates,"&lt;"&amp;AE$13+7,HolidayDates,"&lt;&gt;")=0,"","假"&amp;COUNTIFS(HolidayDates,"&gt;="&amp;AE$13,HolidayDates,"&lt;"&amp;AE$13+7,HolidayDates,"&lt;&gt;")))</f>
        <v/>
      </c>
      <c r="AF20" s="27">
        <f>IF(AF$13="","",IF(COUNTIFS(HolidayDates,"&gt;="&amp;AF$13,HolidayDates,"&lt;"&amp;AF$13+7,HolidayDates,"&lt;&gt;")=0,"","假"&amp;COUNTIFS(HolidayDates,"&gt;="&amp;AF$13,HolidayDates,"&lt;"&amp;AF$13+7,HolidayDates,"&lt;&gt;")))</f>
        <v/>
      </c>
      <c r="AG20" s="27">
        <f>IF(AG$13="","",IF(COUNTIFS(HolidayDates,"&gt;="&amp;AG$13,HolidayDates,"&lt;"&amp;AG$13+7,HolidayDates,"&lt;&gt;")=0,"","假"&amp;COUNTIFS(HolidayDates,"&gt;="&amp;AG$13,HolidayDates,"&lt;"&amp;AG$13+7,HolidayDates,"&lt;&gt;")))</f>
        <v/>
      </c>
      <c r="AH20" s="27">
        <f>IF(AH$13="","",IF(COUNTIFS(HolidayDates,"&gt;="&amp;AH$13,HolidayDates,"&lt;"&amp;AH$13+7,HolidayDates,"&lt;&gt;")=0,"","假"&amp;COUNTIFS(HolidayDates,"&gt;="&amp;AH$13,HolidayDates,"&lt;"&amp;AH$13+7,HolidayDates,"&lt;&gt;")))</f>
        <v/>
      </c>
      <c r="AI20" s="27">
        <f>IF(AI$13="","",IF(COUNTIFS(HolidayDates,"&gt;="&amp;AI$13,HolidayDates,"&lt;"&amp;AI$13+7,HolidayDates,"&lt;&gt;")=0,"","假"&amp;COUNTIFS(HolidayDates,"&gt;="&amp;AI$13,HolidayDates,"&lt;"&amp;AI$13+7,HolidayDates,"&lt;&gt;")))</f>
        <v/>
      </c>
      <c r="AJ20" s="27">
        <f>IF(AJ$13="","",IF(COUNTIFS(HolidayDates,"&gt;="&amp;AJ$13,HolidayDates,"&lt;"&amp;AJ$13+7,HolidayDates,"&lt;&gt;")=0,"","假"&amp;COUNTIFS(HolidayDates,"&gt;="&amp;AJ$13,HolidayDates,"&lt;"&amp;AJ$13+7,HolidayDates,"&lt;&gt;")))</f>
        <v/>
      </c>
      <c r="AK20" s="27">
        <f>IF(AK$13="","",IF(COUNTIFS(HolidayDates,"&gt;="&amp;AK$13,HolidayDates,"&lt;"&amp;AK$13+7,HolidayDates,"&lt;&gt;")=0,"","假"&amp;COUNTIFS(HolidayDates,"&gt;="&amp;AK$13,HolidayDates,"&lt;"&amp;AK$13+7,HolidayDates,"&lt;&gt;")))</f>
        <v/>
      </c>
      <c r="AL20" s="27">
        <f>IF(AL$13="","",IF(COUNTIFS(HolidayDates,"&gt;="&amp;AL$13,HolidayDates,"&lt;"&amp;AL$13+7,HolidayDates,"&lt;&gt;")=0,"","假"&amp;COUNTIFS(HolidayDates,"&gt;="&amp;AL$13,HolidayDates,"&lt;"&amp;AL$13+7,HolidayDates,"&lt;&gt;")))</f>
        <v/>
      </c>
      <c r="AM20" s="27">
        <f>IF(AM$13="","",IF(COUNTIFS(HolidayDates,"&gt;="&amp;AM$13,HolidayDates,"&lt;"&amp;AM$13+7,HolidayDates,"&lt;&gt;")=0,"","假"&amp;COUNTIFS(HolidayDates,"&gt;="&amp;AM$13,HolidayDates,"&lt;"&amp;AM$13+7,HolidayDates,"&lt;&gt;")))</f>
        <v/>
      </c>
      <c r="AN20" s="27">
        <f>IF(AN$13="","",IF(COUNTIFS(HolidayDates,"&gt;="&amp;AN$13,HolidayDates,"&lt;"&amp;AN$13+7,HolidayDates,"&lt;&gt;")=0,"","假"&amp;COUNTIFS(HolidayDates,"&gt;="&amp;AN$13,HolidayDates,"&lt;"&amp;AN$13+7,HolidayDates,"&lt;&gt;")))</f>
        <v/>
      </c>
      <c r="AO20" s="27">
        <f>IF(AO$13="","",IF(COUNTIFS(HolidayDates,"&gt;="&amp;AO$13,HolidayDates,"&lt;"&amp;AO$13+7,HolidayDates,"&lt;&gt;")=0,"","假"&amp;COUNTIFS(HolidayDates,"&gt;="&amp;AO$13,HolidayDates,"&lt;"&amp;AO$13+7,HolidayDates,"&lt;&gt;")))</f>
        <v/>
      </c>
      <c r="AP20" s="27">
        <f>IF(AP$13="","",IF(COUNTIFS(HolidayDates,"&gt;="&amp;AP$13,HolidayDates,"&lt;"&amp;AP$13+7,HolidayDates,"&lt;&gt;")=0,"","假"&amp;COUNTIFS(HolidayDates,"&gt;="&amp;AP$13,HolidayDates,"&lt;"&amp;AP$13+7,HolidayDates,"&lt;&gt;")))</f>
        <v/>
      </c>
      <c r="AQ20" s="27">
        <f>IF(AQ$13="","",IF(COUNTIFS(HolidayDates,"&gt;="&amp;AQ$13,HolidayDates,"&lt;"&amp;AQ$13+7,HolidayDates,"&lt;&gt;")=0,"","假"&amp;COUNTIFS(HolidayDates,"&gt;="&amp;AQ$13,HolidayDates,"&lt;"&amp;AQ$13+7,HolidayDates,"&lt;&gt;")))</f>
        <v/>
      </c>
      <c r="AR20" s="27">
        <f>IF(AR$13="","",IF(COUNTIFS(HolidayDates,"&gt;="&amp;AR$13,HolidayDates,"&lt;"&amp;AR$13+7,HolidayDates,"&lt;&gt;")=0,"","假"&amp;COUNTIFS(HolidayDates,"&gt;="&amp;AR$13,HolidayDates,"&lt;"&amp;AR$13+7,HolidayDates,"&lt;&gt;")))</f>
        <v/>
      </c>
      <c r="AS20" s="27">
        <f>IF(AS$13="","",IF(COUNTIFS(HolidayDates,"&gt;="&amp;AS$13,HolidayDates,"&lt;"&amp;AS$13+7,HolidayDates,"&lt;&gt;")=0,"","假"&amp;COUNTIFS(HolidayDates,"&gt;="&amp;AS$13,HolidayDates,"&lt;"&amp;AS$13+7,HolidayDates,"&lt;&gt;")))</f>
        <v/>
      </c>
      <c r="AT20" s="27">
        <f>IF(AT$13="","",IF(COUNTIFS(HolidayDates,"&gt;="&amp;AT$13,HolidayDates,"&lt;"&amp;AT$13+7,HolidayDates,"&lt;&gt;")=0,"","假"&amp;COUNTIFS(HolidayDates,"&gt;="&amp;AT$13,HolidayDates,"&lt;"&amp;AT$13+7,HolidayDates,"&lt;&gt;")))</f>
        <v/>
      </c>
      <c r="AU20" s="27">
        <f>IF(AU$13="","",IF(COUNTIFS(HolidayDates,"&gt;="&amp;AU$13,HolidayDates,"&lt;"&amp;AU$13+7,HolidayDates,"&lt;&gt;")=0,"","假"&amp;COUNTIFS(HolidayDates,"&gt;="&amp;AU$13,HolidayDates,"&lt;"&amp;AU$13+7,HolidayDates,"&lt;&gt;")))</f>
        <v/>
      </c>
      <c r="AV20" s="27">
        <f>IF(AV$13="","",IF(COUNTIFS(HolidayDates,"&gt;="&amp;AV$13,HolidayDates,"&lt;"&amp;AV$13+7,HolidayDates,"&lt;&gt;")=0,"","假"&amp;COUNTIFS(HolidayDates,"&gt;="&amp;AV$13,HolidayDates,"&lt;"&amp;AV$13+7,HolidayDates,"&lt;&gt;")))</f>
        <v/>
      </c>
      <c r="AW20" s="27">
        <f>IF(AW$13="","",IF(COUNTIFS(HolidayDates,"&gt;="&amp;AW$13,HolidayDates,"&lt;"&amp;AW$13+7,HolidayDates,"&lt;&gt;")=0,"","假"&amp;COUNTIFS(HolidayDates,"&gt;="&amp;AW$13,HolidayDates,"&lt;"&amp;AW$13+7,HolidayDates,"&lt;&gt;")))</f>
        <v/>
      </c>
      <c r="AX20" s="27">
        <f>IF(AX$13="","",IF(COUNTIFS(HolidayDates,"&gt;="&amp;AX$13,HolidayDates,"&lt;"&amp;AX$13+7,HolidayDates,"&lt;&gt;")=0,"","假"&amp;COUNTIFS(HolidayDates,"&gt;="&amp;AX$13,HolidayDates,"&lt;"&amp;AX$13+7,HolidayDates,"&lt;&gt;")))</f>
        <v/>
      </c>
      <c r="AY20" s="27">
        <f>IF(AY$13="","",IF(COUNTIFS(HolidayDates,"&gt;="&amp;AY$13,HolidayDates,"&lt;"&amp;AY$13+7,HolidayDates,"&lt;&gt;")=0,"","假"&amp;COUNTIFS(HolidayDates,"&gt;="&amp;AY$13,HolidayDates,"&lt;"&amp;AY$13+7,HolidayDates,"&lt;&gt;")))</f>
        <v/>
      </c>
      <c r="AZ20" s="27">
        <f>IF(AZ$13="","",IF(COUNTIFS(HolidayDates,"&gt;="&amp;AZ$13,HolidayDates,"&lt;"&amp;AZ$13+7,HolidayDates,"&lt;&gt;")=0,"","假"&amp;COUNTIFS(HolidayDates,"&gt;="&amp;AZ$13,HolidayDates,"&lt;"&amp;AZ$13+7,HolidayDates,"&lt;&gt;")))</f>
        <v/>
      </c>
      <c r="BA20" s="27">
        <f>IF(BA$13="","",IF(COUNTIFS(HolidayDates,"&gt;="&amp;BA$13,HolidayDates,"&lt;"&amp;BA$13+7,HolidayDates,"&lt;&gt;")=0,"","假"&amp;COUNTIFS(HolidayDates,"&gt;="&amp;BA$13,HolidayDates,"&lt;"&amp;BA$13+7,HolidayDates,"&lt;&gt;")))</f>
        <v/>
      </c>
      <c r="BB20" s="27">
        <f>IF(BB$13="","",IF(COUNTIFS(HolidayDates,"&gt;="&amp;BB$13,HolidayDates,"&lt;"&amp;BB$13+7,HolidayDates,"&lt;&gt;")=0,"","假"&amp;COUNTIFS(HolidayDates,"&gt;="&amp;BB$13,HolidayDates,"&lt;"&amp;BB$13+7,HolidayDates,"&lt;&gt;")))</f>
        <v/>
      </c>
      <c r="BC20" s="27">
        <f>IF(BC$13="","",IF(COUNTIFS(HolidayDates,"&gt;="&amp;BC$13,HolidayDates,"&lt;"&amp;BC$13+7,HolidayDates,"&lt;&gt;")=0,"","假"&amp;COUNTIFS(HolidayDates,"&gt;="&amp;BC$13,HolidayDates,"&lt;"&amp;BC$13+7,HolidayDates,"&lt;&gt;")))</f>
        <v/>
      </c>
      <c r="BD20" s="27">
        <f>IF(BD$13="","",IF(COUNTIFS(HolidayDates,"&gt;="&amp;BD$13,HolidayDates,"&lt;"&amp;BD$13+7,HolidayDates,"&lt;&gt;")=0,"","假"&amp;COUNTIFS(HolidayDates,"&gt;="&amp;BD$13,HolidayDates,"&lt;"&amp;BD$13+7,HolidayDates,"&lt;&gt;")))</f>
        <v/>
      </c>
      <c r="BE20" s="27">
        <f>IF(BE$13="","",IF(COUNTIFS(HolidayDates,"&gt;="&amp;BE$13,HolidayDates,"&lt;"&amp;BE$13+7,HolidayDates,"&lt;&gt;")=0,"","假"&amp;COUNTIFS(HolidayDates,"&gt;="&amp;BE$13,HolidayDates,"&lt;"&amp;BE$13+7,HolidayDates,"&lt;&gt;")))</f>
        <v/>
      </c>
      <c r="BF20" s="27">
        <f>IF(BF$13="","",IF(COUNTIFS(HolidayDates,"&gt;="&amp;BF$13,HolidayDates,"&lt;"&amp;BF$13+7,HolidayDates,"&lt;&gt;")=0,"","假"&amp;COUNTIFS(HolidayDates,"&gt;="&amp;BF$13,HolidayDates,"&lt;"&amp;BF$13+7,HolidayDates,"&lt;&gt;")))</f>
        <v/>
      </c>
      <c r="BG20" s="27">
        <f>IF(BG$13="","",IF(COUNTIFS(HolidayDates,"&gt;="&amp;BG$13,HolidayDates,"&lt;"&amp;BG$13+7,HolidayDates,"&lt;&gt;")=0,"","假"&amp;COUNTIFS(HolidayDates,"&gt;="&amp;BG$13,HolidayDates,"&lt;"&amp;BG$13+7,HolidayDates,"&lt;&gt;")))</f>
        <v/>
      </c>
      <c r="BH20" s="27">
        <f>IF(BH$13="","",IF(COUNTIFS(HolidayDates,"&gt;="&amp;BH$13,HolidayDates,"&lt;"&amp;BH$13+7,HolidayDates,"&lt;&gt;")=0,"","假"&amp;COUNTIFS(HolidayDates,"&gt;="&amp;BH$13,HolidayDates,"&lt;"&amp;BH$13+7,HolidayDates,"&lt;&gt;")))</f>
        <v/>
      </c>
    </row>
    <row r="21" hidden="1">
      <c r="A21" s="28" t="inlineStr">
        <is>
          <t>（系統）假期天數</t>
        </is>
      </c>
      <c r="H21" s="29">
        <f>IF(H$13="","",COUNTIFS(HolidayDates,"&gt;="&amp;H$13,HolidayDates,"&lt;"&amp;H$13+7,HolidayDates,"&lt;&gt;"))</f>
        <v/>
      </c>
      <c r="I21" s="29">
        <f>IF(I$13="","",COUNTIFS(HolidayDates,"&gt;="&amp;I$13,HolidayDates,"&lt;"&amp;I$13+7,HolidayDates,"&lt;&gt;"))</f>
        <v/>
      </c>
      <c r="J21" s="29">
        <f>IF(J$13="","",COUNTIFS(HolidayDates,"&gt;="&amp;J$13,HolidayDates,"&lt;"&amp;J$13+7,HolidayDates,"&lt;&gt;"))</f>
        <v/>
      </c>
      <c r="K21" s="29">
        <f>IF(K$13="","",COUNTIFS(HolidayDates,"&gt;="&amp;K$13,HolidayDates,"&lt;"&amp;K$13+7,HolidayDates,"&lt;&gt;"))</f>
        <v/>
      </c>
      <c r="L21" s="29">
        <f>IF(L$13="","",COUNTIFS(HolidayDates,"&gt;="&amp;L$13,HolidayDates,"&lt;"&amp;L$13+7,HolidayDates,"&lt;&gt;"))</f>
        <v/>
      </c>
      <c r="M21" s="29">
        <f>IF(M$13="","",COUNTIFS(HolidayDates,"&gt;="&amp;M$13,HolidayDates,"&lt;"&amp;M$13+7,HolidayDates,"&lt;&gt;"))</f>
        <v/>
      </c>
      <c r="N21" s="29">
        <f>IF(N$13="","",COUNTIFS(HolidayDates,"&gt;="&amp;N$13,HolidayDates,"&lt;"&amp;N$13+7,HolidayDates,"&lt;&gt;"))</f>
        <v/>
      </c>
      <c r="O21" s="29">
        <f>IF(O$13="","",COUNTIFS(HolidayDates,"&gt;="&amp;O$13,HolidayDates,"&lt;"&amp;O$13+7,HolidayDates,"&lt;&gt;"))</f>
        <v/>
      </c>
      <c r="P21" s="29">
        <f>IF(P$13="","",COUNTIFS(HolidayDates,"&gt;="&amp;P$13,HolidayDates,"&lt;"&amp;P$13+7,HolidayDates,"&lt;&gt;"))</f>
        <v/>
      </c>
      <c r="Q21" s="29">
        <f>IF(Q$13="","",COUNTIFS(HolidayDates,"&gt;="&amp;Q$13,HolidayDates,"&lt;"&amp;Q$13+7,HolidayDates,"&lt;&gt;"))</f>
        <v/>
      </c>
      <c r="R21" s="29">
        <f>IF(R$13="","",COUNTIFS(HolidayDates,"&gt;="&amp;R$13,HolidayDates,"&lt;"&amp;R$13+7,HolidayDates,"&lt;&gt;"))</f>
        <v/>
      </c>
      <c r="S21" s="29">
        <f>IF(S$13="","",COUNTIFS(HolidayDates,"&gt;="&amp;S$13,HolidayDates,"&lt;"&amp;S$13+7,HolidayDates,"&lt;&gt;"))</f>
        <v/>
      </c>
      <c r="T21" s="29">
        <f>IF(T$13="","",COUNTIFS(HolidayDates,"&gt;="&amp;T$13,HolidayDates,"&lt;"&amp;T$13+7,HolidayDates,"&lt;&gt;"))</f>
        <v/>
      </c>
      <c r="U21" s="29">
        <f>IF(U$13="","",COUNTIFS(HolidayDates,"&gt;="&amp;U$13,HolidayDates,"&lt;"&amp;U$13+7,HolidayDates,"&lt;&gt;"))</f>
        <v/>
      </c>
      <c r="V21" s="29">
        <f>IF(V$13="","",COUNTIFS(HolidayDates,"&gt;="&amp;V$13,HolidayDates,"&lt;"&amp;V$13+7,HolidayDates,"&lt;&gt;"))</f>
        <v/>
      </c>
      <c r="W21" s="29">
        <f>IF(W$13="","",COUNTIFS(HolidayDates,"&gt;="&amp;W$13,HolidayDates,"&lt;"&amp;W$13+7,HolidayDates,"&lt;&gt;"))</f>
        <v/>
      </c>
      <c r="X21" s="29">
        <f>IF(X$13="","",COUNTIFS(HolidayDates,"&gt;="&amp;X$13,HolidayDates,"&lt;"&amp;X$13+7,HolidayDates,"&lt;&gt;"))</f>
        <v/>
      </c>
      <c r="Y21" s="29">
        <f>IF(Y$13="","",COUNTIFS(HolidayDates,"&gt;="&amp;Y$13,HolidayDates,"&lt;"&amp;Y$13+7,HolidayDates,"&lt;&gt;"))</f>
        <v/>
      </c>
      <c r="Z21" s="29">
        <f>IF(Z$13="","",COUNTIFS(HolidayDates,"&gt;="&amp;Z$13,HolidayDates,"&lt;"&amp;Z$13+7,HolidayDates,"&lt;&gt;"))</f>
        <v/>
      </c>
      <c r="AA21" s="29">
        <f>IF(AA$13="","",COUNTIFS(HolidayDates,"&gt;="&amp;AA$13,HolidayDates,"&lt;"&amp;AA$13+7,HolidayDates,"&lt;&gt;"))</f>
        <v/>
      </c>
      <c r="AB21" s="29">
        <f>IF(AB$13="","",COUNTIFS(HolidayDates,"&gt;="&amp;AB$13,HolidayDates,"&lt;"&amp;AB$13+7,HolidayDates,"&lt;&gt;"))</f>
        <v/>
      </c>
      <c r="AC21" s="29">
        <f>IF(AC$13="","",COUNTIFS(HolidayDates,"&gt;="&amp;AC$13,HolidayDates,"&lt;"&amp;AC$13+7,HolidayDates,"&lt;&gt;"))</f>
        <v/>
      </c>
      <c r="AD21" s="29">
        <f>IF(AD$13="","",COUNTIFS(HolidayDates,"&gt;="&amp;AD$13,HolidayDates,"&lt;"&amp;AD$13+7,HolidayDates,"&lt;&gt;"))</f>
        <v/>
      </c>
      <c r="AE21" s="29">
        <f>IF(AE$13="","",COUNTIFS(HolidayDates,"&gt;="&amp;AE$13,HolidayDates,"&lt;"&amp;AE$13+7,HolidayDates,"&lt;&gt;"))</f>
        <v/>
      </c>
      <c r="AF21" s="29">
        <f>IF(AF$13="","",COUNTIFS(HolidayDates,"&gt;="&amp;AF$13,HolidayDates,"&lt;"&amp;AF$13+7,HolidayDates,"&lt;&gt;"))</f>
        <v/>
      </c>
      <c r="AG21" s="29">
        <f>IF(AG$13="","",COUNTIFS(HolidayDates,"&gt;="&amp;AG$13,HolidayDates,"&lt;"&amp;AG$13+7,HolidayDates,"&lt;&gt;"))</f>
        <v/>
      </c>
      <c r="AH21" s="29">
        <f>IF(AH$13="","",COUNTIFS(HolidayDates,"&gt;="&amp;AH$13,HolidayDates,"&lt;"&amp;AH$13+7,HolidayDates,"&lt;&gt;"))</f>
        <v/>
      </c>
      <c r="AI21" s="29">
        <f>IF(AI$13="","",COUNTIFS(HolidayDates,"&gt;="&amp;AI$13,HolidayDates,"&lt;"&amp;AI$13+7,HolidayDates,"&lt;&gt;"))</f>
        <v/>
      </c>
      <c r="AJ21" s="29">
        <f>IF(AJ$13="","",COUNTIFS(HolidayDates,"&gt;="&amp;AJ$13,HolidayDates,"&lt;"&amp;AJ$13+7,HolidayDates,"&lt;&gt;"))</f>
        <v/>
      </c>
      <c r="AK21" s="29">
        <f>IF(AK$13="","",COUNTIFS(HolidayDates,"&gt;="&amp;AK$13,HolidayDates,"&lt;"&amp;AK$13+7,HolidayDates,"&lt;&gt;"))</f>
        <v/>
      </c>
      <c r="AL21" s="29">
        <f>IF(AL$13="","",COUNTIFS(HolidayDates,"&gt;="&amp;AL$13,HolidayDates,"&lt;"&amp;AL$13+7,HolidayDates,"&lt;&gt;"))</f>
        <v/>
      </c>
      <c r="AM21" s="29">
        <f>IF(AM$13="","",COUNTIFS(HolidayDates,"&gt;="&amp;AM$13,HolidayDates,"&lt;"&amp;AM$13+7,HolidayDates,"&lt;&gt;"))</f>
        <v/>
      </c>
      <c r="AN21" s="29">
        <f>IF(AN$13="","",COUNTIFS(HolidayDates,"&gt;="&amp;AN$13,HolidayDates,"&lt;"&amp;AN$13+7,HolidayDates,"&lt;&gt;"))</f>
        <v/>
      </c>
      <c r="AO21" s="29">
        <f>IF(AO$13="","",COUNTIFS(HolidayDates,"&gt;="&amp;AO$13,HolidayDates,"&lt;"&amp;AO$13+7,HolidayDates,"&lt;&gt;"))</f>
        <v/>
      </c>
      <c r="AP21" s="29">
        <f>IF(AP$13="","",COUNTIFS(HolidayDates,"&gt;="&amp;AP$13,HolidayDates,"&lt;"&amp;AP$13+7,HolidayDates,"&lt;&gt;"))</f>
        <v/>
      </c>
      <c r="AQ21" s="29">
        <f>IF(AQ$13="","",COUNTIFS(HolidayDates,"&gt;="&amp;AQ$13,HolidayDates,"&lt;"&amp;AQ$13+7,HolidayDates,"&lt;&gt;"))</f>
        <v/>
      </c>
      <c r="AR21" s="29">
        <f>IF(AR$13="","",COUNTIFS(HolidayDates,"&gt;="&amp;AR$13,HolidayDates,"&lt;"&amp;AR$13+7,HolidayDates,"&lt;&gt;"))</f>
        <v/>
      </c>
      <c r="AS21" s="29">
        <f>IF(AS$13="","",COUNTIFS(HolidayDates,"&gt;="&amp;AS$13,HolidayDates,"&lt;"&amp;AS$13+7,HolidayDates,"&lt;&gt;"))</f>
        <v/>
      </c>
      <c r="AT21" s="29">
        <f>IF(AT$13="","",COUNTIFS(HolidayDates,"&gt;="&amp;AT$13,HolidayDates,"&lt;"&amp;AT$13+7,HolidayDates,"&lt;&gt;"))</f>
        <v/>
      </c>
      <c r="AU21" s="29">
        <f>IF(AU$13="","",COUNTIFS(HolidayDates,"&gt;="&amp;AU$13,HolidayDates,"&lt;"&amp;AU$13+7,HolidayDates,"&lt;&gt;"))</f>
        <v/>
      </c>
      <c r="AV21" s="29">
        <f>IF(AV$13="","",COUNTIFS(HolidayDates,"&gt;="&amp;AV$13,HolidayDates,"&lt;"&amp;AV$13+7,HolidayDates,"&lt;&gt;"))</f>
        <v/>
      </c>
      <c r="AW21" s="29">
        <f>IF(AW$13="","",COUNTIFS(HolidayDates,"&gt;="&amp;AW$13,HolidayDates,"&lt;"&amp;AW$13+7,HolidayDates,"&lt;&gt;"))</f>
        <v/>
      </c>
      <c r="AX21" s="29">
        <f>IF(AX$13="","",COUNTIFS(HolidayDates,"&gt;="&amp;AX$13,HolidayDates,"&lt;"&amp;AX$13+7,HolidayDates,"&lt;&gt;"))</f>
        <v/>
      </c>
      <c r="AY21" s="29">
        <f>IF(AY$13="","",COUNTIFS(HolidayDates,"&gt;="&amp;AY$13,HolidayDates,"&lt;"&amp;AY$13+7,HolidayDates,"&lt;&gt;"))</f>
        <v/>
      </c>
      <c r="AZ21" s="29">
        <f>IF(AZ$13="","",COUNTIFS(HolidayDates,"&gt;="&amp;AZ$13,HolidayDates,"&lt;"&amp;AZ$13+7,HolidayDates,"&lt;&gt;"))</f>
        <v/>
      </c>
      <c r="BA21" s="29">
        <f>IF(BA$13="","",COUNTIFS(HolidayDates,"&gt;="&amp;BA$13,HolidayDates,"&lt;"&amp;BA$13+7,HolidayDates,"&lt;&gt;"))</f>
        <v/>
      </c>
      <c r="BB21" s="29">
        <f>IF(BB$13="","",COUNTIFS(HolidayDates,"&gt;="&amp;BB$13,HolidayDates,"&lt;"&amp;BB$13+7,HolidayDates,"&lt;&gt;"))</f>
        <v/>
      </c>
      <c r="BC21" s="29">
        <f>IF(BC$13="","",COUNTIFS(HolidayDates,"&gt;="&amp;BC$13,HolidayDates,"&lt;"&amp;BC$13+7,HolidayDates,"&lt;&gt;"))</f>
        <v/>
      </c>
      <c r="BD21" s="29">
        <f>IF(BD$13="","",COUNTIFS(HolidayDates,"&gt;="&amp;BD$13,HolidayDates,"&lt;"&amp;BD$13+7,HolidayDates,"&lt;&gt;"))</f>
        <v/>
      </c>
      <c r="BE21" s="29">
        <f>IF(BE$13="","",COUNTIFS(HolidayDates,"&gt;="&amp;BE$13,HolidayDates,"&lt;"&amp;BE$13+7,HolidayDates,"&lt;&gt;"))</f>
        <v/>
      </c>
      <c r="BF21" s="29">
        <f>IF(BF$13="","",COUNTIFS(HolidayDates,"&gt;="&amp;BF$13,HolidayDates,"&lt;"&amp;BF$13+7,HolidayDates,"&lt;&gt;"))</f>
        <v/>
      </c>
      <c r="BG21" s="29">
        <f>IF(BG$13="","",COUNTIFS(HolidayDates,"&gt;="&amp;BG$13,HolidayDates,"&lt;"&amp;BG$13+7,HolidayDates,"&lt;&gt;"))</f>
        <v/>
      </c>
      <c r="BH21" s="29">
        <f>IF(BH$13="","",COUNTIFS(HolidayDates,"&gt;="&amp;BH$13,HolidayDates,"&lt;"&amp;BH$13+7,HolidayDates,"&lt;&gt;"))</f>
        <v/>
      </c>
    </row>
    <row r="23">
      <c r="A23" s="2" t="inlineStr">
        <is>
          <t>使用提示</t>
        </is>
      </c>
    </row>
    <row r="24">
      <c r="A24" s="4" t="inlineStr">
        <is>
          <t>1. 黃色輸入格可改：設定區姓名／Offset／年假額度；排班表「期初補假」；「請假登錄」表對應週份格填 AL/SL。</t>
        </is>
      </c>
    </row>
    <row r="25">
      <c r="A25" s="4" t="inlineStr">
        <is>
          <t>2. 換年：只改「設定」→顯示年份，並在「公眾假期」追加新假期。輪班基準日 2026-06-29 請勿改動。</t>
        </is>
      </c>
    </row>
    <row r="26">
      <c r="A26" s="4" t="inlineStr">
        <is>
          <t>3. 衝突警示：同一週 AL+SL 合計超過 2 人時，該週欄位自動標紅。</t>
        </is>
      </c>
    </row>
    <row r="27">
      <c r="A27" s="4" t="inlineStr">
        <is>
          <t>4. 補假：公眾假期當週若顯示 A/P/N/S（仍上班），計入本年新增補假；累積結餘＝期初＋本年（跨年請先把累積值寫入期初再換年）。</t>
        </is>
      </c>
    </row>
    <row r="28">
      <c r="A28" s="4" t="inlineStr">
        <is>
          <t>5. 新增第六人：在設定填姓名、類型改 R、設 Offset（與其他人錯開 0/4/8/12），即可自動排班並可在請假登錄填假。</t>
        </is>
      </c>
    </row>
    <row r="29">
      <c r="A29" s="4" t="inlineStr">
        <is>
          <t>6. 若公眾假期落在本年第一個週一之前（如 2026 元旦），該日不在主表週欄內，補假請手動調整「期初補假」。</t>
        </is>
      </c>
    </row>
  </sheetData>
  <mergeCells count="9">
    <mergeCell ref="A27:G27"/>
    <mergeCell ref="A12:G12"/>
    <mergeCell ref="A26:G26"/>
    <mergeCell ref="A24:G24"/>
    <mergeCell ref="A1:E1"/>
    <mergeCell ref="A3:C3"/>
    <mergeCell ref="A29:G29"/>
    <mergeCell ref="A25:G25"/>
    <mergeCell ref="A28:G28"/>
  </mergeCells>
  <conditionalFormatting sqref="H14:BH19">
    <cfRule type="cellIs" priority="1" operator="equal" dxfId="0">
      <formula>"S"</formula>
    </cfRule>
    <cfRule type="cellIs" priority="2" operator="equal" dxfId="1">
      <formula>"A"</formula>
    </cfRule>
    <cfRule type="cellIs" priority="3" operator="equal" dxfId="2">
      <formula>"P"</formula>
    </cfRule>
    <cfRule type="cellIs" priority="4" operator="equal" dxfId="3">
      <formula>"N"</formula>
    </cfRule>
    <cfRule type="cellIs" priority="5" operator="equal" dxfId="4">
      <formula>"AL"</formula>
    </cfRule>
    <cfRule type="cellIs" priority="6" operator="equal" dxfId="5">
      <formula>"SL"</formula>
    </cfRule>
  </conditionalFormatting>
  <conditionalFormatting sqref="B9:C14">
    <cfRule type="cellIs" priority="7" operator="equal" dxfId="0">
      <formula>"S"</formula>
    </cfRule>
    <cfRule type="cellIs" priority="8" operator="equal" dxfId="1">
      <formula>"A"</formula>
    </cfRule>
    <cfRule type="cellIs" priority="9" operator="equal" dxfId="2">
      <formula>"P"</formula>
    </cfRule>
    <cfRule type="cellIs" priority="10" operator="equal" dxfId="3">
      <formula>"N"</formula>
    </cfRule>
    <cfRule type="cellIs" priority="11" operator="equal" dxfId="4">
      <formula>"AL"</formula>
    </cfRule>
    <cfRule type="cellIs" priority="12" operator="equal" dxfId="5">
      <formula>"SL"</formula>
    </cfRule>
  </conditionalFormatting>
  <conditionalFormatting sqref="H13">
    <cfRule type="expression" priority="13" dxfId="6">
      <formula>AND(H$13&lt;&gt;"",COUNTIFS(HolidayDates,"&gt;="&amp;H$13,HolidayDates,"&lt;"&amp;H$13+7,HolidayDates,"&lt;&gt;")&gt;0)</formula>
    </cfRule>
  </conditionalFormatting>
  <conditionalFormatting sqref="I13">
    <cfRule type="expression" priority="14" dxfId="6">
      <formula>AND(I$13&lt;&gt;"",COUNTIFS(HolidayDates,"&gt;="&amp;I$13,HolidayDates,"&lt;"&amp;I$13+7,HolidayDates,"&lt;&gt;")&gt;0)</formula>
    </cfRule>
  </conditionalFormatting>
  <conditionalFormatting sqref="J13">
    <cfRule type="expression" priority="15" dxfId="6">
      <formula>AND(J$13&lt;&gt;"",COUNTIFS(HolidayDates,"&gt;="&amp;J$13,HolidayDates,"&lt;"&amp;J$13+7,HolidayDates,"&lt;&gt;")&gt;0)</formula>
    </cfRule>
  </conditionalFormatting>
  <conditionalFormatting sqref="K13">
    <cfRule type="expression" priority="16" dxfId="6">
      <formula>AND(K$13&lt;&gt;"",COUNTIFS(HolidayDates,"&gt;="&amp;K$13,HolidayDates,"&lt;"&amp;K$13+7,HolidayDates,"&lt;&gt;")&gt;0)</formula>
    </cfRule>
  </conditionalFormatting>
  <conditionalFormatting sqref="L13">
    <cfRule type="expression" priority="17" dxfId="6">
      <formula>AND(L$13&lt;&gt;"",COUNTIFS(HolidayDates,"&gt;="&amp;L$13,HolidayDates,"&lt;"&amp;L$13+7,HolidayDates,"&lt;&gt;")&gt;0)</formula>
    </cfRule>
  </conditionalFormatting>
  <conditionalFormatting sqref="M13">
    <cfRule type="expression" priority="18" dxfId="6">
      <formula>AND(M$13&lt;&gt;"",COUNTIFS(HolidayDates,"&gt;="&amp;M$13,HolidayDates,"&lt;"&amp;M$13+7,HolidayDates,"&lt;&gt;")&gt;0)</formula>
    </cfRule>
  </conditionalFormatting>
  <conditionalFormatting sqref="N13">
    <cfRule type="expression" priority="19" dxfId="6">
      <formula>AND(N$13&lt;&gt;"",COUNTIFS(HolidayDates,"&gt;="&amp;N$13,HolidayDates,"&lt;"&amp;N$13+7,HolidayDates,"&lt;&gt;")&gt;0)</formula>
    </cfRule>
  </conditionalFormatting>
  <conditionalFormatting sqref="O13">
    <cfRule type="expression" priority="20" dxfId="6">
      <formula>AND(O$13&lt;&gt;"",COUNTIFS(HolidayDates,"&gt;="&amp;O$13,HolidayDates,"&lt;"&amp;O$13+7,HolidayDates,"&lt;&gt;")&gt;0)</formula>
    </cfRule>
  </conditionalFormatting>
  <conditionalFormatting sqref="P13">
    <cfRule type="expression" priority="21" dxfId="6">
      <formula>AND(P$13&lt;&gt;"",COUNTIFS(HolidayDates,"&gt;="&amp;P$13,HolidayDates,"&lt;"&amp;P$13+7,HolidayDates,"&lt;&gt;")&gt;0)</formula>
    </cfRule>
  </conditionalFormatting>
  <conditionalFormatting sqref="Q13">
    <cfRule type="expression" priority="22" dxfId="6">
      <formula>AND(Q$13&lt;&gt;"",COUNTIFS(HolidayDates,"&gt;="&amp;Q$13,HolidayDates,"&lt;"&amp;Q$13+7,HolidayDates,"&lt;&gt;")&gt;0)</formula>
    </cfRule>
  </conditionalFormatting>
  <conditionalFormatting sqref="R13">
    <cfRule type="expression" priority="23" dxfId="6">
      <formula>AND(R$13&lt;&gt;"",COUNTIFS(HolidayDates,"&gt;="&amp;R$13,HolidayDates,"&lt;"&amp;R$13+7,HolidayDates,"&lt;&gt;")&gt;0)</formula>
    </cfRule>
  </conditionalFormatting>
  <conditionalFormatting sqref="S13">
    <cfRule type="expression" priority="24" dxfId="6">
      <formula>AND(S$13&lt;&gt;"",COUNTIFS(HolidayDates,"&gt;="&amp;S$13,HolidayDates,"&lt;"&amp;S$13+7,HolidayDates,"&lt;&gt;")&gt;0)</formula>
    </cfRule>
  </conditionalFormatting>
  <conditionalFormatting sqref="T13">
    <cfRule type="expression" priority="25" dxfId="6">
      <formula>AND(T$13&lt;&gt;"",COUNTIFS(HolidayDates,"&gt;="&amp;T$13,HolidayDates,"&lt;"&amp;T$13+7,HolidayDates,"&lt;&gt;")&gt;0)</formula>
    </cfRule>
  </conditionalFormatting>
  <conditionalFormatting sqref="U13">
    <cfRule type="expression" priority="26" dxfId="6">
      <formula>AND(U$13&lt;&gt;"",COUNTIFS(HolidayDates,"&gt;="&amp;U$13,HolidayDates,"&lt;"&amp;U$13+7,HolidayDates,"&lt;&gt;")&gt;0)</formula>
    </cfRule>
  </conditionalFormatting>
  <conditionalFormatting sqref="V13">
    <cfRule type="expression" priority="27" dxfId="6">
      <formula>AND(V$13&lt;&gt;"",COUNTIFS(HolidayDates,"&gt;="&amp;V$13,HolidayDates,"&lt;"&amp;V$13+7,HolidayDates,"&lt;&gt;")&gt;0)</formula>
    </cfRule>
  </conditionalFormatting>
  <conditionalFormatting sqref="W13">
    <cfRule type="expression" priority="28" dxfId="6">
      <formula>AND(W$13&lt;&gt;"",COUNTIFS(HolidayDates,"&gt;="&amp;W$13,HolidayDates,"&lt;"&amp;W$13+7,HolidayDates,"&lt;&gt;")&gt;0)</formula>
    </cfRule>
  </conditionalFormatting>
  <conditionalFormatting sqref="X13">
    <cfRule type="expression" priority="29" dxfId="6">
      <formula>AND(X$13&lt;&gt;"",COUNTIFS(HolidayDates,"&gt;="&amp;X$13,HolidayDates,"&lt;"&amp;X$13+7,HolidayDates,"&lt;&gt;")&gt;0)</formula>
    </cfRule>
  </conditionalFormatting>
  <conditionalFormatting sqref="Y13">
    <cfRule type="expression" priority="30" dxfId="6">
      <formula>AND(Y$13&lt;&gt;"",COUNTIFS(HolidayDates,"&gt;="&amp;Y$13,HolidayDates,"&lt;"&amp;Y$13+7,HolidayDates,"&lt;&gt;")&gt;0)</formula>
    </cfRule>
  </conditionalFormatting>
  <conditionalFormatting sqref="Z13">
    <cfRule type="expression" priority="31" dxfId="6">
      <formula>AND(Z$13&lt;&gt;"",COUNTIFS(HolidayDates,"&gt;="&amp;Z$13,HolidayDates,"&lt;"&amp;Z$13+7,HolidayDates,"&lt;&gt;")&gt;0)</formula>
    </cfRule>
  </conditionalFormatting>
  <conditionalFormatting sqref="AA13">
    <cfRule type="expression" priority="32" dxfId="6">
      <formula>AND(AA$13&lt;&gt;"",COUNTIFS(HolidayDates,"&gt;="&amp;AA$13,HolidayDates,"&lt;"&amp;AA$13+7,HolidayDates,"&lt;&gt;")&gt;0)</formula>
    </cfRule>
  </conditionalFormatting>
  <conditionalFormatting sqref="AB13">
    <cfRule type="expression" priority="33" dxfId="6">
      <formula>AND(AB$13&lt;&gt;"",COUNTIFS(HolidayDates,"&gt;="&amp;AB$13,HolidayDates,"&lt;"&amp;AB$13+7,HolidayDates,"&lt;&gt;")&gt;0)</formula>
    </cfRule>
  </conditionalFormatting>
  <conditionalFormatting sqref="AC13">
    <cfRule type="expression" priority="34" dxfId="6">
      <formula>AND(AC$13&lt;&gt;"",COUNTIFS(HolidayDates,"&gt;="&amp;AC$13,HolidayDates,"&lt;"&amp;AC$13+7,HolidayDates,"&lt;&gt;")&gt;0)</formula>
    </cfRule>
  </conditionalFormatting>
  <conditionalFormatting sqref="AD13">
    <cfRule type="expression" priority="35" dxfId="6">
      <formula>AND(AD$13&lt;&gt;"",COUNTIFS(HolidayDates,"&gt;="&amp;AD$13,HolidayDates,"&lt;"&amp;AD$13+7,HolidayDates,"&lt;&gt;")&gt;0)</formula>
    </cfRule>
  </conditionalFormatting>
  <conditionalFormatting sqref="AE13">
    <cfRule type="expression" priority="36" dxfId="6">
      <formula>AND(AE$13&lt;&gt;"",COUNTIFS(HolidayDates,"&gt;="&amp;AE$13,HolidayDates,"&lt;"&amp;AE$13+7,HolidayDates,"&lt;&gt;")&gt;0)</formula>
    </cfRule>
  </conditionalFormatting>
  <conditionalFormatting sqref="AF13">
    <cfRule type="expression" priority="37" dxfId="6">
      <formula>AND(AF$13&lt;&gt;"",COUNTIFS(HolidayDates,"&gt;="&amp;AF$13,HolidayDates,"&lt;"&amp;AF$13+7,HolidayDates,"&lt;&gt;")&gt;0)</formula>
    </cfRule>
  </conditionalFormatting>
  <conditionalFormatting sqref="AG13">
    <cfRule type="expression" priority="38" dxfId="6">
      <formula>AND(AG$13&lt;&gt;"",COUNTIFS(HolidayDates,"&gt;="&amp;AG$13,HolidayDates,"&lt;"&amp;AG$13+7,HolidayDates,"&lt;&gt;")&gt;0)</formula>
    </cfRule>
  </conditionalFormatting>
  <conditionalFormatting sqref="AH13">
    <cfRule type="expression" priority="39" dxfId="6">
      <formula>AND(AH$13&lt;&gt;"",COUNTIFS(HolidayDates,"&gt;="&amp;AH$13,HolidayDates,"&lt;"&amp;AH$13+7,HolidayDates,"&lt;&gt;")&gt;0)</formula>
    </cfRule>
  </conditionalFormatting>
  <conditionalFormatting sqref="AI13">
    <cfRule type="expression" priority="40" dxfId="6">
      <formula>AND(AI$13&lt;&gt;"",COUNTIFS(HolidayDates,"&gt;="&amp;AI$13,HolidayDates,"&lt;"&amp;AI$13+7,HolidayDates,"&lt;&gt;")&gt;0)</formula>
    </cfRule>
  </conditionalFormatting>
  <conditionalFormatting sqref="AJ13">
    <cfRule type="expression" priority="41" dxfId="6">
      <formula>AND(AJ$13&lt;&gt;"",COUNTIFS(HolidayDates,"&gt;="&amp;AJ$13,HolidayDates,"&lt;"&amp;AJ$13+7,HolidayDates,"&lt;&gt;")&gt;0)</formula>
    </cfRule>
  </conditionalFormatting>
  <conditionalFormatting sqref="AK13">
    <cfRule type="expression" priority="42" dxfId="6">
      <formula>AND(AK$13&lt;&gt;"",COUNTIFS(HolidayDates,"&gt;="&amp;AK$13,HolidayDates,"&lt;"&amp;AK$13+7,HolidayDates,"&lt;&gt;")&gt;0)</formula>
    </cfRule>
  </conditionalFormatting>
  <conditionalFormatting sqref="AL13">
    <cfRule type="expression" priority="43" dxfId="6">
      <formula>AND(AL$13&lt;&gt;"",COUNTIFS(HolidayDates,"&gt;="&amp;AL$13,HolidayDates,"&lt;"&amp;AL$13+7,HolidayDates,"&lt;&gt;")&gt;0)</formula>
    </cfRule>
  </conditionalFormatting>
  <conditionalFormatting sqref="AM13">
    <cfRule type="expression" priority="44" dxfId="6">
      <formula>AND(AM$13&lt;&gt;"",COUNTIFS(HolidayDates,"&gt;="&amp;AM$13,HolidayDates,"&lt;"&amp;AM$13+7,HolidayDates,"&lt;&gt;")&gt;0)</formula>
    </cfRule>
  </conditionalFormatting>
  <conditionalFormatting sqref="AN13">
    <cfRule type="expression" priority="45" dxfId="6">
      <formula>AND(AN$13&lt;&gt;"",COUNTIFS(HolidayDates,"&gt;="&amp;AN$13,HolidayDates,"&lt;"&amp;AN$13+7,HolidayDates,"&lt;&gt;")&gt;0)</formula>
    </cfRule>
  </conditionalFormatting>
  <conditionalFormatting sqref="AO13">
    <cfRule type="expression" priority="46" dxfId="6">
      <formula>AND(AO$13&lt;&gt;"",COUNTIFS(HolidayDates,"&gt;="&amp;AO$13,HolidayDates,"&lt;"&amp;AO$13+7,HolidayDates,"&lt;&gt;")&gt;0)</formula>
    </cfRule>
  </conditionalFormatting>
  <conditionalFormatting sqref="AP13">
    <cfRule type="expression" priority="47" dxfId="6">
      <formula>AND(AP$13&lt;&gt;"",COUNTIFS(HolidayDates,"&gt;="&amp;AP$13,HolidayDates,"&lt;"&amp;AP$13+7,HolidayDates,"&lt;&gt;")&gt;0)</formula>
    </cfRule>
  </conditionalFormatting>
  <conditionalFormatting sqref="AQ13">
    <cfRule type="expression" priority="48" dxfId="6">
      <formula>AND(AQ$13&lt;&gt;"",COUNTIFS(HolidayDates,"&gt;="&amp;AQ$13,HolidayDates,"&lt;"&amp;AQ$13+7,HolidayDates,"&lt;&gt;")&gt;0)</formula>
    </cfRule>
  </conditionalFormatting>
  <conditionalFormatting sqref="AR13">
    <cfRule type="expression" priority="49" dxfId="6">
      <formula>AND(AR$13&lt;&gt;"",COUNTIFS(HolidayDates,"&gt;="&amp;AR$13,HolidayDates,"&lt;"&amp;AR$13+7,HolidayDates,"&lt;&gt;")&gt;0)</formula>
    </cfRule>
  </conditionalFormatting>
  <conditionalFormatting sqref="AS13">
    <cfRule type="expression" priority="50" dxfId="6">
      <formula>AND(AS$13&lt;&gt;"",COUNTIFS(HolidayDates,"&gt;="&amp;AS$13,HolidayDates,"&lt;"&amp;AS$13+7,HolidayDates,"&lt;&gt;")&gt;0)</formula>
    </cfRule>
  </conditionalFormatting>
  <conditionalFormatting sqref="AT13">
    <cfRule type="expression" priority="51" dxfId="6">
      <formula>AND(AT$13&lt;&gt;"",COUNTIFS(HolidayDates,"&gt;="&amp;AT$13,HolidayDates,"&lt;"&amp;AT$13+7,HolidayDates,"&lt;&gt;")&gt;0)</formula>
    </cfRule>
  </conditionalFormatting>
  <conditionalFormatting sqref="AU13">
    <cfRule type="expression" priority="52" dxfId="6">
      <formula>AND(AU$13&lt;&gt;"",COUNTIFS(HolidayDates,"&gt;="&amp;AU$13,HolidayDates,"&lt;"&amp;AU$13+7,HolidayDates,"&lt;&gt;")&gt;0)</formula>
    </cfRule>
  </conditionalFormatting>
  <conditionalFormatting sqref="AV13">
    <cfRule type="expression" priority="53" dxfId="6">
      <formula>AND(AV$13&lt;&gt;"",COUNTIFS(HolidayDates,"&gt;="&amp;AV$13,HolidayDates,"&lt;"&amp;AV$13+7,HolidayDates,"&lt;&gt;")&gt;0)</formula>
    </cfRule>
  </conditionalFormatting>
  <conditionalFormatting sqref="AW13">
    <cfRule type="expression" priority="54" dxfId="6">
      <formula>AND(AW$13&lt;&gt;"",COUNTIFS(HolidayDates,"&gt;="&amp;AW$13,HolidayDates,"&lt;"&amp;AW$13+7,HolidayDates,"&lt;&gt;")&gt;0)</formula>
    </cfRule>
  </conditionalFormatting>
  <conditionalFormatting sqref="AX13">
    <cfRule type="expression" priority="55" dxfId="6">
      <formula>AND(AX$13&lt;&gt;"",COUNTIFS(HolidayDates,"&gt;="&amp;AX$13,HolidayDates,"&lt;"&amp;AX$13+7,HolidayDates,"&lt;&gt;")&gt;0)</formula>
    </cfRule>
  </conditionalFormatting>
  <conditionalFormatting sqref="AY13">
    <cfRule type="expression" priority="56" dxfId="6">
      <formula>AND(AY$13&lt;&gt;"",COUNTIFS(HolidayDates,"&gt;="&amp;AY$13,HolidayDates,"&lt;"&amp;AY$13+7,HolidayDates,"&lt;&gt;")&gt;0)</formula>
    </cfRule>
  </conditionalFormatting>
  <conditionalFormatting sqref="AZ13">
    <cfRule type="expression" priority="57" dxfId="6">
      <formula>AND(AZ$13&lt;&gt;"",COUNTIFS(HolidayDates,"&gt;="&amp;AZ$13,HolidayDates,"&lt;"&amp;AZ$13+7,HolidayDates,"&lt;&gt;")&gt;0)</formula>
    </cfRule>
  </conditionalFormatting>
  <conditionalFormatting sqref="BA13">
    <cfRule type="expression" priority="58" dxfId="6">
      <formula>AND(BA$13&lt;&gt;"",COUNTIFS(HolidayDates,"&gt;="&amp;BA$13,HolidayDates,"&lt;"&amp;BA$13+7,HolidayDates,"&lt;&gt;")&gt;0)</formula>
    </cfRule>
  </conditionalFormatting>
  <conditionalFormatting sqref="BB13">
    <cfRule type="expression" priority="59" dxfId="6">
      <formula>AND(BB$13&lt;&gt;"",COUNTIFS(HolidayDates,"&gt;="&amp;BB$13,HolidayDates,"&lt;"&amp;BB$13+7,HolidayDates,"&lt;&gt;")&gt;0)</formula>
    </cfRule>
  </conditionalFormatting>
  <conditionalFormatting sqref="BC13">
    <cfRule type="expression" priority="60" dxfId="6">
      <formula>AND(BC$13&lt;&gt;"",COUNTIFS(HolidayDates,"&gt;="&amp;BC$13,HolidayDates,"&lt;"&amp;BC$13+7,HolidayDates,"&lt;&gt;")&gt;0)</formula>
    </cfRule>
  </conditionalFormatting>
  <conditionalFormatting sqref="BD13">
    <cfRule type="expression" priority="61" dxfId="6">
      <formula>AND(BD$13&lt;&gt;"",COUNTIFS(HolidayDates,"&gt;="&amp;BD$13,HolidayDates,"&lt;"&amp;BD$13+7,HolidayDates,"&lt;&gt;")&gt;0)</formula>
    </cfRule>
  </conditionalFormatting>
  <conditionalFormatting sqref="BE13">
    <cfRule type="expression" priority="62" dxfId="6">
      <formula>AND(BE$13&lt;&gt;"",COUNTIFS(HolidayDates,"&gt;="&amp;BE$13,HolidayDates,"&lt;"&amp;BE$13+7,HolidayDates,"&lt;&gt;")&gt;0)</formula>
    </cfRule>
  </conditionalFormatting>
  <conditionalFormatting sqref="BF13">
    <cfRule type="expression" priority="63" dxfId="6">
      <formula>AND(BF$13&lt;&gt;"",COUNTIFS(HolidayDates,"&gt;="&amp;BF$13,HolidayDates,"&lt;"&amp;BF$13+7,HolidayDates,"&lt;&gt;")&gt;0)</formula>
    </cfRule>
  </conditionalFormatting>
  <conditionalFormatting sqref="BG13">
    <cfRule type="expression" priority="64" dxfId="6">
      <formula>AND(BG$13&lt;&gt;"",COUNTIFS(HolidayDates,"&gt;="&amp;BG$13,HolidayDates,"&lt;"&amp;BG$13+7,HolidayDates,"&lt;&gt;")&gt;0)</formula>
    </cfRule>
  </conditionalFormatting>
  <conditionalFormatting sqref="BH13">
    <cfRule type="expression" priority="65" dxfId="6">
      <formula>AND(BH$13&lt;&gt;"",COUNTIFS(HolidayDates,"&gt;="&amp;BH$13,HolidayDates,"&lt;"&amp;BH$13+7,HolidayDates,"&lt;&gt;")&gt;0)</formula>
    </cfRule>
  </conditionalFormatting>
  <conditionalFormatting sqref="H13:H20">
    <cfRule type="expression" priority="66" dxfId="7">
      <formula>(COUNTIF(H$14:H$19,"AL")+COUNTIF(H$14:H$19,"SL"))&gt;2</formula>
    </cfRule>
  </conditionalFormatting>
  <conditionalFormatting sqref="I13:I20">
    <cfRule type="expression" priority="67" dxfId="7">
      <formula>(COUNTIF(I$14:I$19,"AL")+COUNTIF(I$14:I$19,"SL"))&gt;2</formula>
    </cfRule>
  </conditionalFormatting>
  <conditionalFormatting sqref="J13:J20">
    <cfRule type="expression" priority="68" dxfId="7">
      <formula>(COUNTIF(J$14:J$19,"AL")+COUNTIF(J$14:J$19,"SL"))&gt;2</formula>
    </cfRule>
  </conditionalFormatting>
  <conditionalFormatting sqref="K13:K20">
    <cfRule type="expression" priority="69" dxfId="7">
      <formula>(COUNTIF(K$14:K$19,"AL")+COUNTIF(K$14:K$19,"SL"))&gt;2</formula>
    </cfRule>
  </conditionalFormatting>
  <conditionalFormatting sqref="L13:L20">
    <cfRule type="expression" priority="70" dxfId="7">
      <formula>(COUNTIF(L$14:L$19,"AL")+COUNTIF(L$14:L$19,"SL"))&gt;2</formula>
    </cfRule>
  </conditionalFormatting>
  <conditionalFormatting sqref="M13:M20">
    <cfRule type="expression" priority="71" dxfId="7">
      <formula>(COUNTIF(M$14:M$19,"AL")+COUNTIF(M$14:M$19,"SL"))&gt;2</formula>
    </cfRule>
  </conditionalFormatting>
  <conditionalFormatting sqref="N13:N20">
    <cfRule type="expression" priority="72" dxfId="7">
      <formula>(COUNTIF(N$14:N$19,"AL")+COUNTIF(N$14:N$19,"SL"))&gt;2</formula>
    </cfRule>
  </conditionalFormatting>
  <conditionalFormatting sqref="O13:O20">
    <cfRule type="expression" priority="73" dxfId="7">
      <formula>(COUNTIF(O$14:O$19,"AL")+COUNTIF(O$14:O$19,"SL"))&gt;2</formula>
    </cfRule>
  </conditionalFormatting>
  <conditionalFormatting sqref="P13:P20">
    <cfRule type="expression" priority="74" dxfId="7">
      <formula>(COUNTIF(P$14:P$19,"AL")+COUNTIF(P$14:P$19,"SL"))&gt;2</formula>
    </cfRule>
  </conditionalFormatting>
  <conditionalFormatting sqref="Q13:Q20">
    <cfRule type="expression" priority="75" dxfId="7">
      <formula>(COUNTIF(Q$14:Q$19,"AL")+COUNTIF(Q$14:Q$19,"SL"))&gt;2</formula>
    </cfRule>
  </conditionalFormatting>
  <conditionalFormatting sqref="R13:R20">
    <cfRule type="expression" priority="76" dxfId="7">
      <formula>(COUNTIF(R$14:R$19,"AL")+COUNTIF(R$14:R$19,"SL"))&gt;2</formula>
    </cfRule>
  </conditionalFormatting>
  <conditionalFormatting sqref="S13:S20">
    <cfRule type="expression" priority="77" dxfId="7">
      <formula>(COUNTIF(S$14:S$19,"AL")+COUNTIF(S$14:S$19,"SL"))&gt;2</formula>
    </cfRule>
  </conditionalFormatting>
  <conditionalFormatting sqref="T13:T20">
    <cfRule type="expression" priority="78" dxfId="7">
      <formula>(COUNTIF(T$14:T$19,"AL")+COUNTIF(T$14:T$19,"SL"))&gt;2</formula>
    </cfRule>
  </conditionalFormatting>
  <conditionalFormatting sqref="U13:U20">
    <cfRule type="expression" priority="79" dxfId="7">
      <formula>(COUNTIF(U$14:U$19,"AL")+COUNTIF(U$14:U$19,"SL"))&gt;2</formula>
    </cfRule>
  </conditionalFormatting>
  <conditionalFormatting sqref="V13:V20">
    <cfRule type="expression" priority="80" dxfId="7">
      <formula>(COUNTIF(V$14:V$19,"AL")+COUNTIF(V$14:V$19,"SL"))&gt;2</formula>
    </cfRule>
  </conditionalFormatting>
  <conditionalFormatting sqref="W13:W20">
    <cfRule type="expression" priority="81" dxfId="7">
      <formula>(COUNTIF(W$14:W$19,"AL")+COUNTIF(W$14:W$19,"SL"))&gt;2</formula>
    </cfRule>
  </conditionalFormatting>
  <conditionalFormatting sqref="X13:X20">
    <cfRule type="expression" priority="82" dxfId="7">
      <formula>(COUNTIF(X$14:X$19,"AL")+COUNTIF(X$14:X$19,"SL"))&gt;2</formula>
    </cfRule>
  </conditionalFormatting>
  <conditionalFormatting sqref="Y13:Y20">
    <cfRule type="expression" priority="83" dxfId="7">
      <formula>(COUNTIF(Y$14:Y$19,"AL")+COUNTIF(Y$14:Y$19,"SL"))&gt;2</formula>
    </cfRule>
  </conditionalFormatting>
  <conditionalFormatting sqref="Z13:Z20">
    <cfRule type="expression" priority="84" dxfId="7">
      <formula>(COUNTIF(Z$14:Z$19,"AL")+COUNTIF(Z$14:Z$19,"SL"))&gt;2</formula>
    </cfRule>
  </conditionalFormatting>
  <conditionalFormatting sqref="AA13:AA20">
    <cfRule type="expression" priority="85" dxfId="7">
      <formula>(COUNTIF(AA$14:AA$19,"AL")+COUNTIF(AA$14:AA$19,"SL"))&gt;2</formula>
    </cfRule>
  </conditionalFormatting>
  <conditionalFormatting sqref="AB13:AB20">
    <cfRule type="expression" priority="86" dxfId="7">
      <formula>(COUNTIF(AB$14:AB$19,"AL")+COUNTIF(AB$14:AB$19,"SL"))&gt;2</formula>
    </cfRule>
  </conditionalFormatting>
  <conditionalFormatting sqref="AC13:AC20">
    <cfRule type="expression" priority="87" dxfId="7">
      <formula>(COUNTIF(AC$14:AC$19,"AL")+COUNTIF(AC$14:AC$19,"SL"))&gt;2</formula>
    </cfRule>
  </conditionalFormatting>
  <conditionalFormatting sqref="AD13:AD20">
    <cfRule type="expression" priority="88" dxfId="7">
      <formula>(COUNTIF(AD$14:AD$19,"AL")+COUNTIF(AD$14:AD$19,"SL"))&gt;2</formula>
    </cfRule>
  </conditionalFormatting>
  <conditionalFormatting sqref="AE13:AE20">
    <cfRule type="expression" priority="89" dxfId="7">
      <formula>(COUNTIF(AE$14:AE$19,"AL")+COUNTIF(AE$14:AE$19,"SL"))&gt;2</formula>
    </cfRule>
  </conditionalFormatting>
  <conditionalFormatting sqref="AF13:AF20">
    <cfRule type="expression" priority="90" dxfId="7">
      <formula>(COUNTIF(AF$14:AF$19,"AL")+COUNTIF(AF$14:AF$19,"SL"))&gt;2</formula>
    </cfRule>
  </conditionalFormatting>
  <conditionalFormatting sqref="AG13:AG20">
    <cfRule type="expression" priority="91" dxfId="7">
      <formula>(COUNTIF(AG$14:AG$19,"AL")+COUNTIF(AG$14:AG$19,"SL"))&gt;2</formula>
    </cfRule>
  </conditionalFormatting>
  <conditionalFormatting sqref="AH13:AH20">
    <cfRule type="expression" priority="92" dxfId="7">
      <formula>(COUNTIF(AH$14:AH$19,"AL")+COUNTIF(AH$14:AH$19,"SL"))&gt;2</formula>
    </cfRule>
  </conditionalFormatting>
  <conditionalFormatting sqref="AI13:AI20">
    <cfRule type="expression" priority="93" dxfId="7">
      <formula>(COUNTIF(AI$14:AI$19,"AL")+COUNTIF(AI$14:AI$19,"SL"))&gt;2</formula>
    </cfRule>
  </conditionalFormatting>
  <conditionalFormatting sqref="AJ13:AJ20">
    <cfRule type="expression" priority="94" dxfId="7">
      <formula>(COUNTIF(AJ$14:AJ$19,"AL")+COUNTIF(AJ$14:AJ$19,"SL"))&gt;2</formula>
    </cfRule>
  </conditionalFormatting>
  <conditionalFormatting sqref="AK13:AK20">
    <cfRule type="expression" priority="95" dxfId="7">
      <formula>(COUNTIF(AK$14:AK$19,"AL")+COUNTIF(AK$14:AK$19,"SL"))&gt;2</formula>
    </cfRule>
  </conditionalFormatting>
  <conditionalFormatting sqref="AL13:AL20">
    <cfRule type="expression" priority="96" dxfId="7">
      <formula>(COUNTIF(AL$14:AL$19,"AL")+COUNTIF(AL$14:AL$19,"SL"))&gt;2</formula>
    </cfRule>
  </conditionalFormatting>
  <conditionalFormatting sqref="AM13:AM20">
    <cfRule type="expression" priority="97" dxfId="7">
      <formula>(COUNTIF(AM$14:AM$19,"AL")+COUNTIF(AM$14:AM$19,"SL"))&gt;2</formula>
    </cfRule>
  </conditionalFormatting>
  <conditionalFormatting sqref="AN13:AN20">
    <cfRule type="expression" priority="98" dxfId="7">
      <formula>(COUNTIF(AN$14:AN$19,"AL")+COUNTIF(AN$14:AN$19,"SL"))&gt;2</formula>
    </cfRule>
  </conditionalFormatting>
  <conditionalFormatting sqref="AO13:AO20">
    <cfRule type="expression" priority="99" dxfId="7">
      <formula>(COUNTIF(AO$14:AO$19,"AL")+COUNTIF(AO$14:AO$19,"SL"))&gt;2</formula>
    </cfRule>
  </conditionalFormatting>
  <conditionalFormatting sqref="AP13:AP20">
    <cfRule type="expression" priority="100" dxfId="7">
      <formula>(COUNTIF(AP$14:AP$19,"AL")+COUNTIF(AP$14:AP$19,"SL"))&gt;2</formula>
    </cfRule>
  </conditionalFormatting>
  <conditionalFormatting sqref="AQ13:AQ20">
    <cfRule type="expression" priority="101" dxfId="7">
      <formula>(COUNTIF(AQ$14:AQ$19,"AL")+COUNTIF(AQ$14:AQ$19,"SL"))&gt;2</formula>
    </cfRule>
  </conditionalFormatting>
  <conditionalFormatting sqref="AR13:AR20">
    <cfRule type="expression" priority="102" dxfId="7">
      <formula>(COUNTIF(AR$14:AR$19,"AL")+COUNTIF(AR$14:AR$19,"SL"))&gt;2</formula>
    </cfRule>
  </conditionalFormatting>
  <conditionalFormatting sqref="AS13:AS20">
    <cfRule type="expression" priority="103" dxfId="7">
      <formula>(COUNTIF(AS$14:AS$19,"AL")+COUNTIF(AS$14:AS$19,"SL"))&gt;2</formula>
    </cfRule>
  </conditionalFormatting>
  <conditionalFormatting sqref="AT13:AT20">
    <cfRule type="expression" priority="104" dxfId="7">
      <formula>(COUNTIF(AT$14:AT$19,"AL")+COUNTIF(AT$14:AT$19,"SL"))&gt;2</formula>
    </cfRule>
  </conditionalFormatting>
  <conditionalFormatting sqref="AU13:AU20">
    <cfRule type="expression" priority="105" dxfId="7">
      <formula>(COUNTIF(AU$14:AU$19,"AL")+COUNTIF(AU$14:AU$19,"SL"))&gt;2</formula>
    </cfRule>
  </conditionalFormatting>
  <conditionalFormatting sqref="AV13:AV20">
    <cfRule type="expression" priority="106" dxfId="7">
      <formula>(COUNTIF(AV$14:AV$19,"AL")+COUNTIF(AV$14:AV$19,"SL"))&gt;2</formula>
    </cfRule>
  </conditionalFormatting>
  <conditionalFormatting sqref="AW13:AW20">
    <cfRule type="expression" priority="107" dxfId="7">
      <formula>(COUNTIF(AW$14:AW$19,"AL")+COUNTIF(AW$14:AW$19,"SL"))&gt;2</formula>
    </cfRule>
  </conditionalFormatting>
  <conditionalFormatting sqref="AX13:AX20">
    <cfRule type="expression" priority="108" dxfId="7">
      <formula>(COUNTIF(AX$14:AX$19,"AL")+COUNTIF(AX$14:AX$19,"SL"))&gt;2</formula>
    </cfRule>
  </conditionalFormatting>
  <conditionalFormatting sqref="AY13:AY20">
    <cfRule type="expression" priority="109" dxfId="7">
      <formula>(COUNTIF(AY$14:AY$19,"AL")+COUNTIF(AY$14:AY$19,"SL"))&gt;2</formula>
    </cfRule>
  </conditionalFormatting>
  <conditionalFormatting sqref="AZ13:AZ20">
    <cfRule type="expression" priority="110" dxfId="7">
      <formula>(COUNTIF(AZ$14:AZ$19,"AL")+COUNTIF(AZ$14:AZ$19,"SL"))&gt;2</formula>
    </cfRule>
  </conditionalFormatting>
  <conditionalFormatting sqref="BA13:BA20">
    <cfRule type="expression" priority="111" dxfId="7">
      <formula>(COUNTIF(BA$14:BA$19,"AL")+COUNTIF(BA$14:BA$19,"SL"))&gt;2</formula>
    </cfRule>
  </conditionalFormatting>
  <conditionalFormatting sqref="BB13:BB20">
    <cfRule type="expression" priority="112" dxfId="7">
      <formula>(COUNTIF(BB$14:BB$19,"AL")+COUNTIF(BB$14:BB$19,"SL"))&gt;2</formula>
    </cfRule>
  </conditionalFormatting>
  <conditionalFormatting sqref="BC13:BC20">
    <cfRule type="expression" priority="113" dxfId="7">
      <formula>(COUNTIF(BC$14:BC$19,"AL")+COUNTIF(BC$14:BC$19,"SL"))&gt;2</formula>
    </cfRule>
  </conditionalFormatting>
  <conditionalFormatting sqref="BD13:BD20">
    <cfRule type="expression" priority="114" dxfId="7">
      <formula>(COUNTIF(BD$14:BD$19,"AL")+COUNTIF(BD$14:BD$19,"SL"))&gt;2</formula>
    </cfRule>
  </conditionalFormatting>
  <conditionalFormatting sqref="BE13:BE20">
    <cfRule type="expression" priority="115" dxfId="7">
      <formula>(COUNTIF(BE$14:BE$19,"AL")+COUNTIF(BE$14:BE$19,"SL"))&gt;2</formula>
    </cfRule>
  </conditionalFormatting>
  <conditionalFormatting sqref="BF13:BF20">
    <cfRule type="expression" priority="116" dxfId="7">
      <formula>(COUNTIF(BF$14:BF$19,"AL")+COUNTIF(BF$14:BF$19,"SL"))&gt;2</formula>
    </cfRule>
  </conditionalFormatting>
  <conditionalFormatting sqref="BG13:BG20">
    <cfRule type="expression" priority="117" dxfId="7">
      <formula>(COUNTIF(BG$14:BG$19,"AL")+COUNTIF(BG$14:BG$19,"SL"))&gt;2</formula>
    </cfRule>
  </conditionalFormatting>
  <conditionalFormatting sqref="BH13:BH20">
    <cfRule type="expression" priority="118" dxfId="7">
      <formula>(COUNTIF(BH$14:BH$19,"AL")+COUNTIF(BH$14:BH$19,"SL"))&gt;2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2" customWidth="1" min="3" max="3"/>
    <col width="12" customWidth="1" min="4" max="4"/>
    <col width="55" customWidth="1" min="5" max="5"/>
    <col width="20" customWidth="1" min="6" max="6"/>
  </cols>
  <sheetData>
    <row r="1">
      <c r="A1" s="1" t="inlineStr">
        <is>
          <t>部門更表 — 設定區</t>
        </is>
      </c>
    </row>
    <row r="3">
      <c r="A3" s="2" t="inlineStr">
        <is>
          <t>顯示年份</t>
        </is>
      </c>
      <c r="B3" s="30" t="n">
        <v>2026</v>
      </c>
      <c r="C3" s="31" t="inlineStr">
        <is>
          <t>← 每年年頭只改此數字，全年週份日期與班次自動重算</t>
        </is>
      </c>
    </row>
    <row r="4">
      <c r="A4" s="2" t="inlineStr">
        <is>
          <t>輪班基準日（永久固定）</t>
        </is>
      </c>
      <c r="B4" s="32" t="n">
        <v>46202</v>
      </c>
      <c r="C4" s="31" t="inlineStr">
        <is>
          <t>← 永遠不要修改！所有輪班以此日為錨點跨年連續計算</t>
        </is>
      </c>
    </row>
    <row r="5">
      <c r="A5" t="inlineStr">
        <is>
          <t>年假額度（天／人／年）</t>
        </is>
      </c>
      <c r="B5" s="33" t="n">
        <v>12</v>
      </c>
      <c r="C5" s="4" t="inlineStr">
        <is>
          <t>← 可調整；剩餘年假 = 額度 − 已用年假（按顯示年份）</t>
        </is>
      </c>
    </row>
    <row r="6">
      <c r="A6" t="inlineStr">
        <is>
          <t>說明</t>
        </is>
      </c>
      <c r="B6" s="4" t="inlineStr">
        <is>
          <t>16週循環：4週A → 4週P → 4週N → 4週P。offset 錯開 0/4/8/12，確保每週 A/P/N 皆有人。</t>
        </is>
      </c>
    </row>
    <row r="8">
      <c r="A8" s="19" t="inlineStr">
        <is>
          <t>編號</t>
        </is>
      </c>
      <c r="B8" s="19" t="inlineStr">
        <is>
          <t>員工姓名</t>
        </is>
      </c>
      <c r="C8" s="19" t="inlineStr">
        <is>
          <t>班次類型</t>
        </is>
      </c>
      <c r="D8" s="19" t="inlineStr">
        <is>
          <t>初始Offset</t>
        </is>
      </c>
      <c r="E8" s="19" t="inlineStr">
        <is>
          <t>說明</t>
        </is>
      </c>
    </row>
    <row r="9">
      <c r="A9" s="34" t="n">
        <v>1</v>
      </c>
      <c r="B9" s="35" t="inlineStr">
        <is>
          <t>ARTHUR</t>
        </is>
      </c>
      <c r="C9" s="24" t="inlineStr">
        <is>
          <t>S</t>
        </is>
      </c>
      <c r="D9" s="24" t="n"/>
      <c r="E9" s="36" t="inlineStr">
        <is>
          <t>固定 S 班，全年不變</t>
        </is>
      </c>
    </row>
    <row r="10">
      <c r="A10" s="34" t="n">
        <v>2</v>
      </c>
      <c r="B10" s="35" t="inlineStr">
        <is>
          <t>PATRICK</t>
        </is>
      </c>
      <c r="C10" s="24" t="inlineStr">
        <is>
          <t>R</t>
        </is>
      </c>
      <c r="D10" s="24" t="n">
        <v>0</v>
      </c>
      <c r="E10" s="36" t="inlineStr">
        <is>
          <t>輪班 offset=0（循環起點）</t>
        </is>
      </c>
    </row>
    <row r="11">
      <c r="A11" s="34" t="n">
        <v>3</v>
      </c>
      <c r="B11" s="35" t="inlineStr">
        <is>
          <t>CARREY</t>
        </is>
      </c>
      <c r="C11" s="24" t="inlineStr">
        <is>
          <t>R</t>
        </is>
      </c>
      <c r="D11" s="24" t="n">
        <v>4</v>
      </c>
      <c r="E11" s="36" t="inlineStr">
        <is>
          <t>輪班 offset=4（錯開一段）</t>
        </is>
      </c>
    </row>
    <row r="12">
      <c r="A12" s="34" t="n">
        <v>4</v>
      </c>
      <c r="B12" s="35" t="inlineStr">
        <is>
          <t>CESC</t>
        </is>
      </c>
      <c r="C12" s="24" t="inlineStr">
        <is>
          <t>R</t>
        </is>
      </c>
      <c r="D12" s="24" t="n">
        <v>8</v>
      </c>
      <c r="E12" s="36" t="inlineStr">
        <is>
          <t>輪班 offset=8（錯開兩段）</t>
        </is>
      </c>
    </row>
    <row r="13">
      <c r="A13" s="34" t="n">
        <v>5</v>
      </c>
      <c r="B13" s="35" t="inlineStr">
        <is>
          <t>LUCAS</t>
        </is>
      </c>
      <c r="C13" s="24" t="inlineStr">
        <is>
          <t>R</t>
        </is>
      </c>
      <c r="D13" s="24" t="n">
        <v>12</v>
      </c>
      <c r="E13" s="36" t="inlineStr">
        <is>
          <t>輪班 offset=12（錯開三段）</t>
        </is>
      </c>
    </row>
    <row r="14">
      <c r="A14" s="37" t="n">
        <v>6</v>
      </c>
      <c r="B14" s="35" t="n"/>
      <c r="C14" s="24" t="inlineStr">
        <is>
          <t>V</t>
        </is>
      </c>
      <c r="D14" s="24" t="n">
        <v>0</v>
      </c>
      <c r="E14" s="38" t="inlineStr">
        <is>
          <t>填入姓名後，將類型改為 R 並設定 offset（建議 0/4/8/12 錯開）</t>
        </is>
      </c>
    </row>
    <row r="16">
      <c r="A16" s="2" t="inlineStr">
        <is>
          <t>班次代碼說明</t>
        </is>
      </c>
    </row>
    <row r="17">
      <c r="A17" s="10" t="inlineStr">
        <is>
          <t>S</t>
        </is>
      </c>
      <c r="B17" s="39" t="inlineStr">
        <is>
          <t>正常班（ARTHUR 固定）</t>
        </is>
      </c>
    </row>
    <row r="18">
      <c r="A18" s="11" t="inlineStr">
        <is>
          <t>A</t>
        </is>
      </c>
      <c r="B18" s="39" t="inlineStr">
        <is>
          <t>早班</t>
        </is>
      </c>
    </row>
    <row r="19">
      <c r="A19" s="12" t="inlineStr">
        <is>
          <t>P</t>
        </is>
      </c>
      <c r="B19" s="39" t="inlineStr">
        <is>
          <t>中班</t>
        </is>
      </c>
    </row>
    <row r="20">
      <c r="A20" s="13" t="inlineStr">
        <is>
          <t>N</t>
        </is>
      </c>
      <c r="B20" s="39" t="inlineStr">
        <is>
          <t>晚班</t>
        </is>
      </c>
    </row>
    <row r="21">
      <c r="A21" s="14" t="inlineStr">
        <is>
          <t>AL</t>
        </is>
      </c>
      <c r="B21" s="39" t="inlineStr">
        <is>
          <t>年假 Annual Leave（手動輸入覆蓋）</t>
        </is>
      </c>
    </row>
    <row r="22">
      <c r="A22" s="9" t="inlineStr">
        <is>
          <t>SL</t>
        </is>
      </c>
      <c r="B22" s="39" t="inlineStr">
        <is>
          <t>病假 Sick Leave（手動輸入覆蓋）</t>
        </is>
      </c>
    </row>
    <row r="24">
      <c r="A24" s="2" t="inlineStr">
        <is>
          <t>輪班計算公式（供參考）</t>
        </is>
      </c>
    </row>
    <row r="25">
      <c r="A25" s="4" t="inlineStr">
        <is>
          <t>週序 = INT((該週起始日 − 輪班基準日) / 7) + Offset；位置 = MOD(週序, 16)；0–3→A，4–7→P，8–11→N，12–15→P</t>
        </is>
      </c>
    </row>
  </sheetData>
  <mergeCells count="3">
    <mergeCell ref="A25:F25"/>
    <mergeCell ref="A1:F1"/>
    <mergeCell ref="B6:F6"/>
  </mergeCells>
  <dataValidations count="1">
    <dataValidation sqref="C9:C14" showDropDown="0" showInputMessage="0" showErrorMessage="0" allowBlank="1" type="list">
      <formula1>"S,R,V"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B10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5" customWidth="1" min="2" max="2"/>
    <col width="5" customWidth="1" min="3" max="3"/>
    <col width="5" customWidth="1" min="4" max="4"/>
    <col width="5" customWidth="1" min="5" max="5"/>
    <col width="5" customWidth="1" min="6" max="6"/>
    <col width="5" customWidth="1" min="7" max="7"/>
    <col width="5" customWidth="1" min="8" max="8"/>
    <col width="5" customWidth="1" min="9" max="9"/>
    <col width="5" customWidth="1" min="10" max="10"/>
    <col width="5" customWidth="1" min="11" max="11"/>
    <col width="5" customWidth="1" min="12" max="12"/>
    <col width="5" customWidth="1" min="13" max="13"/>
    <col width="5" customWidth="1" min="14" max="14"/>
    <col width="5" customWidth="1" min="15" max="15"/>
    <col width="5" customWidth="1" min="16" max="16"/>
    <col width="5" customWidth="1" min="17" max="17"/>
    <col width="5" customWidth="1" min="18" max="18"/>
    <col width="5" customWidth="1" min="19" max="19"/>
    <col width="5" customWidth="1" min="20" max="20"/>
    <col width="5" customWidth="1" min="21" max="21"/>
    <col width="5" customWidth="1" min="22" max="22"/>
    <col width="5" customWidth="1" min="23" max="23"/>
    <col width="5" customWidth="1" min="24" max="24"/>
    <col width="5" customWidth="1" min="25" max="25"/>
    <col width="5" customWidth="1" min="26" max="26"/>
    <col width="5" customWidth="1" min="27" max="27"/>
    <col width="5" customWidth="1" min="28" max="28"/>
    <col width="5" customWidth="1" min="29" max="29"/>
    <col width="5" customWidth="1" min="30" max="30"/>
    <col width="5" customWidth="1" min="31" max="31"/>
    <col width="5" customWidth="1" min="32" max="32"/>
    <col width="5" customWidth="1" min="33" max="33"/>
    <col width="5" customWidth="1" min="34" max="34"/>
    <col width="5" customWidth="1" min="35" max="35"/>
    <col width="5" customWidth="1" min="36" max="36"/>
    <col width="5" customWidth="1" min="37" max="37"/>
    <col width="5" customWidth="1" min="38" max="38"/>
    <col width="5" customWidth="1" min="39" max="39"/>
    <col width="5" customWidth="1" min="40" max="40"/>
    <col width="5" customWidth="1" min="41" max="41"/>
    <col width="5" customWidth="1" min="42" max="42"/>
    <col width="5" customWidth="1" min="43" max="43"/>
    <col width="5" customWidth="1" min="44" max="44"/>
    <col width="5" customWidth="1" min="45" max="45"/>
    <col width="5" customWidth="1" min="46" max="46"/>
    <col width="5" customWidth="1" min="47" max="47"/>
    <col width="5" customWidth="1" min="48" max="48"/>
    <col width="5" customWidth="1" min="49" max="49"/>
    <col width="5" customWidth="1" min="50" max="50"/>
    <col width="5" customWidth="1" min="51" max="51"/>
    <col width="5" customWidth="1" min="52" max="52"/>
    <col width="5" customWidth="1" min="53" max="53"/>
    <col width="5" customWidth="1" min="54" max="54"/>
  </cols>
  <sheetData>
    <row r="1">
      <c r="A1" s="1" t="inlineStr">
        <is>
          <t>請假登錄（在對應人員／週份格輸入 AL 或 SL）</t>
        </is>
      </c>
    </row>
    <row r="2">
      <c r="A2" s="31" t="inlineStr">
        <is>
          <t>此表欄位與「排班表」週份對齊。輸入 AL/SL 後，排班表對應格會自動覆蓋原班次。換年後若欄位仍留有舊假碼，請清除或改填新一年請假。</t>
        </is>
      </c>
    </row>
    <row r="4">
      <c r="A4" s="40" t="inlineStr">
        <is>
          <t>員工</t>
        </is>
      </c>
      <c r="B4" s="20">
        <f>IF(((DATE('設定'!$B$3,1,1)+MOD(8-WEEKDAY(DATE('設定'!$B$3,1,1),2),7))+0*7)&gt;DATE('設定'!$B$3,12,31),"",(DATE('設定'!$B$3,1,1)+MOD(8-WEEKDAY(DATE('設定'!$B$3,1,1),2),7))+0*7)</f>
        <v/>
      </c>
      <c r="C4" s="20">
        <f>IF(((DATE('設定'!$B$3,1,1)+MOD(8-WEEKDAY(DATE('設定'!$B$3,1,1),2),7))+1*7)&gt;DATE('設定'!$B$3,12,31),"",(DATE('設定'!$B$3,1,1)+MOD(8-WEEKDAY(DATE('設定'!$B$3,1,1),2),7))+1*7)</f>
        <v/>
      </c>
      <c r="D4" s="20">
        <f>IF(((DATE('設定'!$B$3,1,1)+MOD(8-WEEKDAY(DATE('設定'!$B$3,1,1),2),7))+2*7)&gt;DATE('設定'!$B$3,12,31),"",(DATE('設定'!$B$3,1,1)+MOD(8-WEEKDAY(DATE('設定'!$B$3,1,1),2),7))+2*7)</f>
        <v/>
      </c>
      <c r="E4" s="20">
        <f>IF(((DATE('設定'!$B$3,1,1)+MOD(8-WEEKDAY(DATE('設定'!$B$3,1,1),2),7))+3*7)&gt;DATE('設定'!$B$3,12,31),"",(DATE('設定'!$B$3,1,1)+MOD(8-WEEKDAY(DATE('設定'!$B$3,1,1),2),7))+3*7)</f>
        <v/>
      </c>
      <c r="F4" s="20">
        <f>IF(((DATE('設定'!$B$3,1,1)+MOD(8-WEEKDAY(DATE('設定'!$B$3,1,1),2),7))+4*7)&gt;DATE('設定'!$B$3,12,31),"",(DATE('設定'!$B$3,1,1)+MOD(8-WEEKDAY(DATE('設定'!$B$3,1,1),2),7))+4*7)</f>
        <v/>
      </c>
      <c r="G4" s="20">
        <f>IF(((DATE('設定'!$B$3,1,1)+MOD(8-WEEKDAY(DATE('設定'!$B$3,1,1),2),7))+5*7)&gt;DATE('設定'!$B$3,12,31),"",(DATE('設定'!$B$3,1,1)+MOD(8-WEEKDAY(DATE('設定'!$B$3,1,1),2),7))+5*7)</f>
        <v/>
      </c>
      <c r="H4" s="20">
        <f>IF(((DATE('設定'!$B$3,1,1)+MOD(8-WEEKDAY(DATE('設定'!$B$3,1,1),2),7))+6*7)&gt;DATE('設定'!$B$3,12,31),"",(DATE('設定'!$B$3,1,1)+MOD(8-WEEKDAY(DATE('設定'!$B$3,1,1),2),7))+6*7)</f>
        <v/>
      </c>
      <c r="I4" s="20">
        <f>IF(((DATE('設定'!$B$3,1,1)+MOD(8-WEEKDAY(DATE('設定'!$B$3,1,1),2),7))+7*7)&gt;DATE('設定'!$B$3,12,31),"",(DATE('設定'!$B$3,1,1)+MOD(8-WEEKDAY(DATE('設定'!$B$3,1,1),2),7))+7*7)</f>
        <v/>
      </c>
      <c r="J4" s="20">
        <f>IF(((DATE('設定'!$B$3,1,1)+MOD(8-WEEKDAY(DATE('設定'!$B$3,1,1),2),7))+8*7)&gt;DATE('設定'!$B$3,12,31),"",(DATE('設定'!$B$3,1,1)+MOD(8-WEEKDAY(DATE('設定'!$B$3,1,1),2),7))+8*7)</f>
        <v/>
      </c>
      <c r="K4" s="20">
        <f>IF(((DATE('設定'!$B$3,1,1)+MOD(8-WEEKDAY(DATE('設定'!$B$3,1,1),2),7))+9*7)&gt;DATE('設定'!$B$3,12,31),"",(DATE('設定'!$B$3,1,1)+MOD(8-WEEKDAY(DATE('設定'!$B$3,1,1),2),7))+9*7)</f>
        <v/>
      </c>
      <c r="L4" s="20">
        <f>IF(((DATE('設定'!$B$3,1,1)+MOD(8-WEEKDAY(DATE('設定'!$B$3,1,1),2),7))+10*7)&gt;DATE('設定'!$B$3,12,31),"",(DATE('設定'!$B$3,1,1)+MOD(8-WEEKDAY(DATE('設定'!$B$3,1,1),2),7))+10*7)</f>
        <v/>
      </c>
      <c r="M4" s="20">
        <f>IF(((DATE('設定'!$B$3,1,1)+MOD(8-WEEKDAY(DATE('設定'!$B$3,1,1),2),7))+11*7)&gt;DATE('設定'!$B$3,12,31),"",(DATE('設定'!$B$3,1,1)+MOD(8-WEEKDAY(DATE('設定'!$B$3,1,1),2),7))+11*7)</f>
        <v/>
      </c>
      <c r="N4" s="20">
        <f>IF(((DATE('設定'!$B$3,1,1)+MOD(8-WEEKDAY(DATE('設定'!$B$3,1,1),2),7))+12*7)&gt;DATE('設定'!$B$3,12,31),"",(DATE('設定'!$B$3,1,1)+MOD(8-WEEKDAY(DATE('設定'!$B$3,1,1),2),7))+12*7)</f>
        <v/>
      </c>
      <c r="O4" s="20">
        <f>IF(((DATE('設定'!$B$3,1,1)+MOD(8-WEEKDAY(DATE('設定'!$B$3,1,1),2),7))+13*7)&gt;DATE('設定'!$B$3,12,31),"",(DATE('設定'!$B$3,1,1)+MOD(8-WEEKDAY(DATE('設定'!$B$3,1,1),2),7))+13*7)</f>
        <v/>
      </c>
      <c r="P4" s="20">
        <f>IF(((DATE('設定'!$B$3,1,1)+MOD(8-WEEKDAY(DATE('設定'!$B$3,1,1),2),7))+14*7)&gt;DATE('設定'!$B$3,12,31),"",(DATE('設定'!$B$3,1,1)+MOD(8-WEEKDAY(DATE('設定'!$B$3,1,1),2),7))+14*7)</f>
        <v/>
      </c>
      <c r="Q4" s="20">
        <f>IF(((DATE('設定'!$B$3,1,1)+MOD(8-WEEKDAY(DATE('設定'!$B$3,1,1),2),7))+15*7)&gt;DATE('設定'!$B$3,12,31),"",(DATE('設定'!$B$3,1,1)+MOD(8-WEEKDAY(DATE('設定'!$B$3,1,1),2),7))+15*7)</f>
        <v/>
      </c>
      <c r="R4" s="20">
        <f>IF(((DATE('設定'!$B$3,1,1)+MOD(8-WEEKDAY(DATE('設定'!$B$3,1,1),2),7))+16*7)&gt;DATE('設定'!$B$3,12,31),"",(DATE('設定'!$B$3,1,1)+MOD(8-WEEKDAY(DATE('設定'!$B$3,1,1),2),7))+16*7)</f>
        <v/>
      </c>
      <c r="S4" s="20">
        <f>IF(((DATE('設定'!$B$3,1,1)+MOD(8-WEEKDAY(DATE('設定'!$B$3,1,1),2),7))+17*7)&gt;DATE('設定'!$B$3,12,31),"",(DATE('設定'!$B$3,1,1)+MOD(8-WEEKDAY(DATE('設定'!$B$3,1,1),2),7))+17*7)</f>
        <v/>
      </c>
      <c r="T4" s="20">
        <f>IF(((DATE('設定'!$B$3,1,1)+MOD(8-WEEKDAY(DATE('設定'!$B$3,1,1),2),7))+18*7)&gt;DATE('設定'!$B$3,12,31),"",(DATE('設定'!$B$3,1,1)+MOD(8-WEEKDAY(DATE('設定'!$B$3,1,1),2),7))+18*7)</f>
        <v/>
      </c>
      <c r="U4" s="20">
        <f>IF(((DATE('設定'!$B$3,1,1)+MOD(8-WEEKDAY(DATE('設定'!$B$3,1,1),2),7))+19*7)&gt;DATE('設定'!$B$3,12,31),"",(DATE('設定'!$B$3,1,1)+MOD(8-WEEKDAY(DATE('設定'!$B$3,1,1),2),7))+19*7)</f>
        <v/>
      </c>
      <c r="V4" s="20">
        <f>IF(((DATE('設定'!$B$3,1,1)+MOD(8-WEEKDAY(DATE('設定'!$B$3,1,1),2),7))+20*7)&gt;DATE('設定'!$B$3,12,31),"",(DATE('設定'!$B$3,1,1)+MOD(8-WEEKDAY(DATE('設定'!$B$3,1,1),2),7))+20*7)</f>
        <v/>
      </c>
      <c r="W4" s="20">
        <f>IF(((DATE('設定'!$B$3,1,1)+MOD(8-WEEKDAY(DATE('設定'!$B$3,1,1),2),7))+21*7)&gt;DATE('設定'!$B$3,12,31),"",(DATE('設定'!$B$3,1,1)+MOD(8-WEEKDAY(DATE('設定'!$B$3,1,1),2),7))+21*7)</f>
        <v/>
      </c>
      <c r="X4" s="20">
        <f>IF(((DATE('設定'!$B$3,1,1)+MOD(8-WEEKDAY(DATE('設定'!$B$3,1,1),2),7))+22*7)&gt;DATE('設定'!$B$3,12,31),"",(DATE('設定'!$B$3,1,1)+MOD(8-WEEKDAY(DATE('設定'!$B$3,1,1),2),7))+22*7)</f>
        <v/>
      </c>
      <c r="Y4" s="20">
        <f>IF(((DATE('設定'!$B$3,1,1)+MOD(8-WEEKDAY(DATE('設定'!$B$3,1,1),2),7))+23*7)&gt;DATE('設定'!$B$3,12,31),"",(DATE('設定'!$B$3,1,1)+MOD(8-WEEKDAY(DATE('設定'!$B$3,1,1),2),7))+23*7)</f>
        <v/>
      </c>
      <c r="Z4" s="20">
        <f>IF(((DATE('設定'!$B$3,1,1)+MOD(8-WEEKDAY(DATE('設定'!$B$3,1,1),2),7))+24*7)&gt;DATE('設定'!$B$3,12,31),"",(DATE('設定'!$B$3,1,1)+MOD(8-WEEKDAY(DATE('設定'!$B$3,1,1),2),7))+24*7)</f>
        <v/>
      </c>
      <c r="AA4" s="20">
        <f>IF(((DATE('設定'!$B$3,1,1)+MOD(8-WEEKDAY(DATE('設定'!$B$3,1,1),2),7))+25*7)&gt;DATE('設定'!$B$3,12,31),"",(DATE('設定'!$B$3,1,1)+MOD(8-WEEKDAY(DATE('設定'!$B$3,1,1),2),7))+25*7)</f>
        <v/>
      </c>
      <c r="AB4" s="20">
        <f>IF(((DATE('設定'!$B$3,1,1)+MOD(8-WEEKDAY(DATE('設定'!$B$3,1,1),2),7))+26*7)&gt;DATE('設定'!$B$3,12,31),"",(DATE('設定'!$B$3,1,1)+MOD(8-WEEKDAY(DATE('設定'!$B$3,1,1),2),7))+26*7)</f>
        <v/>
      </c>
      <c r="AC4" s="20">
        <f>IF(((DATE('設定'!$B$3,1,1)+MOD(8-WEEKDAY(DATE('設定'!$B$3,1,1),2),7))+27*7)&gt;DATE('設定'!$B$3,12,31),"",(DATE('設定'!$B$3,1,1)+MOD(8-WEEKDAY(DATE('設定'!$B$3,1,1),2),7))+27*7)</f>
        <v/>
      </c>
      <c r="AD4" s="20">
        <f>IF(((DATE('設定'!$B$3,1,1)+MOD(8-WEEKDAY(DATE('設定'!$B$3,1,1),2),7))+28*7)&gt;DATE('設定'!$B$3,12,31),"",(DATE('設定'!$B$3,1,1)+MOD(8-WEEKDAY(DATE('設定'!$B$3,1,1),2),7))+28*7)</f>
        <v/>
      </c>
      <c r="AE4" s="20">
        <f>IF(((DATE('設定'!$B$3,1,1)+MOD(8-WEEKDAY(DATE('設定'!$B$3,1,1),2),7))+29*7)&gt;DATE('設定'!$B$3,12,31),"",(DATE('設定'!$B$3,1,1)+MOD(8-WEEKDAY(DATE('設定'!$B$3,1,1),2),7))+29*7)</f>
        <v/>
      </c>
      <c r="AF4" s="20">
        <f>IF(((DATE('設定'!$B$3,1,1)+MOD(8-WEEKDAY(DATE('設定'!$B$3,1,1),2),7))+30*7)&gt;DATE('設定'!$B$3,12,31),"",(DATE('設定'!$B$3,1,1)+MOD(8-WEEKDAY(DATE('設定'!$B$3,1,1),2),7))+30*7)</f>
        <v/>
      </c>
      <c r="AG4" s="20">
        <f>IF(((DATE('設定'!$B$3,1,1)+MOD(8-WEEKDAY(DATE('設定'!$B$3,1,1),2),7))+31*7)&gt;DATE('設定'!$B$3,12,31),"",(DATE('設定'!$B$3,1,1)+MOD(8-WEEKDAY(DATE('設定'!$B$3,1,1),2),7))+31*7)</f>
        <v/>
      </c>
      <c r="AH4" s="20">
        <f>IF(((DATE('設定'!$B$3,1,1)+MOD(8-WEEKDAY(DATE('設定'!$B$3,1,1),2),7))+32*7)&gt;DATE('設定'!$B$3,12,31),"",(DATE('設定'!$B$3,1,1)+MOD(8-WEEKDAY(DATE('設定'!$B$3,1,1),2),7))+32*7)</f>
        <v/>
      </c>
      <c r="AI4" s="20">
        <f>IF(((DATE('設定'!$B$3,1,1)+MOD(8-WEEKDAY(DATE('設定'!$B$3,1,1),2),7))+33*7)&gt;DATE('設定'!$B$3,12,31),"",(DATE('設定'!$B$3,1,1)+MOD(8-WEEKDAY(DATE('設定'!$B$3,1,1),2),7))+33*7)</f>
        <v/>
      </c>
      <c r="AJ4" s="20">
        <f>IF(((DATE('設定'!$B$3,1,1)+MOD(8-WEEKDAY(DATE('設定'!$B$3,1,1),2),7))+34*7)&gt;DATE('設定'!$B$3,12,31),"",(DATE('設定'!$B$3,1,1)+MOD(8-WEEKDAY(DATE('設定'!$B$3,1,1),2),7))+34*7)</f>
        <v/>
      </c>
      <c r="AK4" s="20">
        <f>IF(((DATE('設定'!$B$3,1,1)+MOD(8-WEEKDAY(DATE('設定'!$B$3,1,1),2),7))+35*7)&gt;DATE('設定'!$B$3,12,31),"",(DATE('設定'!$B$3,1,1)+MOD(8-WEEKDAY(DATE('設定'!$B$3,1,1),2),7))+35*7)</f>
        <v/>
      </c>
      <c r="AL4" s="20">
        <f>IF(((DATE('設定'!$B$3,1,1)+MOD(8-WEEKDAY(DATE('設定'!$B$3,1,1),2),7))+36*7)&gt;DATE('設定'!$B$3,12,31),"",(DATE('設定'!$B$3,1,1)+MOD(8-WEEKDAY(DATE('設定'!$B$3,1,1),2),7))+36*7)</f>
        <v/>
      </c>
      <c r="AM4" s="20">
        <f>IF(((DATE('設定'!$B$3,1,1)+MOD(8-WEEKDAY(DATE('設定'!$B$3,1,1),2),7))+37*7)&gt;DATE('設定'!$B$3,12,31),"",(DATE('設定'!$B$3,1,1)+MOD(8-WEEKDAY(DATE('設定'!$B$3,1,1),2),7))+37*7)</f>
        <v/>
      </c>
      <c r="AN4" s="20">
        <f>IF(((DATE('設定'!$B$3,1,1)+MOD(8-WEEKDAY(DATE('設定'!$B$3,1,1),2),7))+38*7)&gt;DATE('設定'!$B$3,12,31),"",(DATE('設定'!$B$3,1,1)+MOD(8-WEEKDAY(DATE('設定'!$B$3,1,1),2),7))+38*7)</f>
        <v/>
      </c>
      <c r="AO4" s="20">
        <f>IF(((DATE('設定'!$B$3,1,1)+MOD(8-WEEKDAY(DATE('設定'!$B$3,1,1),2),7))+39*7)&gt;DATE('設定'!$B$3,12,31),"",(DATE('設定'!$B$3,1,1)+MOD(8-WEEKDAY(DATE('設定'!$B$3,1,1),2),7))+39*7)</f>
        <v/>
      </c>
      <c r="AP4" s="20">
        <f>IF(((DATE('設定'!$B$3,1,1)+MOD(8-WEEKDAY(DATE('設定'!$B$3,1,1),2),7))+40*7)&gt;DATE('設定'!$B$3,12,31),"",(DATE('設定'!$B$3,1,1)+MOD(8-WEEKDAY(DATE('設定'!$B$3,1,1),2),7))+40*7)</f>
        <v/>
      </c>
      <c r="AQ4" s="20">
        <f>IF(((DATE('設定'!$B$3,1,1)+MOD(8-WEEKDAY(DATE('設定'!$B$3,1,1),2),7))+41*7)&gt;DATE('設定'!$B$3,12,31),"",(DATE('設定'!$B$3,1,1)+MOD(8-WEEKDAY(DATE('設定'!$B$3,1,1),2),7))+41*7)</f>
        <v/>
      </c>
      <c r="AR4" s="20">
        <f>IF(((DATE('設定'!$B$3,1,1)+MOD(8-WEEKDAY(DATE('設定'!$B$3,1,1),2),7))+42*7)&gt;DATE('設定'!$B$3,12,31),"",(DATE('設定'!$B$3,1,1)+MOD(8-WEEKDAY(DATE('設定'!$B$3,1,1),2),7))+42*7)</f>
        <v/>
      </c>
      <c r="AS4" s="20">
        <f>IF(((DATE('設定'!$B$3,1,1)+MOD(8-WEEKDAY(DATE('設定'!$B$3,1,1),2),7))+43*7)&gt;DATE('設定'!$B$3,12,31),"",(DATE('設定'!$B$3,1,1)+MOD(8-WEEKDAY(DATE('設定'!$B$3,1,1),2),7))+43*7)</f>
        <v/>
      </c>
      <c r="AT4" s="20">
        <f>IF(((DATE('設定'!$B$3,1,1)+MOD(8-WEEKDAY(DATE('設定'!$B$3,1,1),2),7))+44*7)&gt;DATE('設定'!$B$3,12,31),"",(DATE('設定'!$B$3,1,1)+MOD(8-WEEKDAY(DATE('設定'!$B$3,1,1),2),7))+44*7)</f>
        <v/>
      </c>
      <c r="AU4" s="20">
        <f>IF(((DATE('設定'!$B$3,1,1)+MOD(8-WEEKDAY(DATE('設定'!$B$3,1,1),2),7))+45*7)&gt;DATE('設定'!$B$3,12,31),"",(DATE('設定'!$B$3,1,1)+MOD(8-WEEKDAY(DATE('設定'!$B$3,1,1),2),7))+45*7)</f>
        <v/>
      </c>
      <c r="AV4" s="20">
        <f>IF(((DATE('設定'!$B$3,1,1)+MOD(8-WEEKDAY(DATE('設定'!$B$3,1,1),2),7))+46*7)&gt;DATE('設定'!$B$3,12,31),"",(DATE('設定'!$B$3,1,1)+MOD(8-WEEKDAY(DATE('設定'!$B$3,1,1),2),7))+46*7)</f>
        <v/>
      </c>
      <c r="AW4" s="20">
        <f>IF(((DATE('設定'!$B$3,1,1)+MOD(8-WEEKDAY(DATE('設定'!$B$3,1,1),2),7))+47*7)&gt;DATE('設定'!$B$3,12,31),"",(DATE('設定'!$B$3,1,1)+MOD(8-WEEKDAY(DATE('設定'!$B$3,1,1),2),7))+47*7)</f>
        <v/>
      </c>
      <c r="AX4" s="20">
        <f>IF(((DATE('設定'!$B$3,1,1)+MOD(8-WEEKDAY(DATE('設定'!$B$3,1,1),2),7))+48*7)&gt;DATE('設定'!$B$3,12,31),"",(DATE('設定'!$B$3,1,1)+MOD(8-WEEKDAY(DATE('設定'!$B$3,1,1),2),7))+48*7)</f>
        <v/>
      </c>
      <c r="AY4" s="20">
        <f>IF(((DATE('設定'!$B$3,1,1)+MOD(8-WEEKDAY(DATE('設定'!$B$3,1,1),2),7))+49*7)&gt;DATE('設定'!$B$3,12,31),"",(DATE('設定'!$B$3,1,1)+MOD(8-WEEKDAY(DATE('設定'!$B$3,1,1),2),7))+49*7)</f>
        <v/>
      </c>
      <c r="AZ4" s="20">
        <f>IF(((DATE('設定'!$B$3,1,1)+MOD(8-WEEKDAY(DATE('設定'!$B$3,1,1),2),7))+50*7)&gt;DATE('設定'!$B$3,12,31),"",(DATE('設定'!$B$3,1,1)+MOD(8-WEEKDAY(DATE('設定'!$B$3,1,1),2),7))+50*7)</f>
        <v/>
      </c>
      <c r="BA4" s="20">
        <f>IF(((DATE('設定'!$B$3,1,1)+MOD(8-WEEKDAY(DATE('設定'!$B$3,1,1),2),7))+51*7)&gt;DATE('設定'!$B$3,12,31),"",(DATE('設定'!$B$3,1,1)+MOD(8-WEEKDAY(DATE('設定'!$B$3,1,1),2),7))+51*7)</f>
        <v/>
      </c>
      <c r="BB4" s="20">
        <f>IF(((DATE('設定'!$B$3,1,1)+MOD(8-WEEKDAY(DATE('設定'!$B$3,1,1),2),7))+52*7)&gt;DATE('設定'!$B$3,12,31),"",(DATE('設定'!$B$3,1,1)+MOD(8-WEEKDAY(DATE('設定'!$B$3,1,1),2),7))+52*7)</f>
        <v/>
      </c>
    </row>
    <row r="5">
      <c r="A5" s="15">
        <f>'設定'!B9</f>
        <v/>
      </c>
      <c r="B5" s="35" t="n"/>
      <c r="C5" s="35" t="n"/>
      <c r="D5" s="35" t="n"/>
      <c r="E5" s="35" t="n"/>
      <c r="F5" s="35" t="n"/>
      <c r="G5" s="35" t="n"/>
      <c r="H5" s="35" t="n"/>
      <c r="I5" s="35" t="n"/>
      <c r="J5" s="35" t="n"/>
      <c r="K5" s="35" t="n"/>
      <c r="L5" s="35" t="n"/>
      <c r="M5" s="35" t="n"/>
      <c r="N5" s="35" t="n"/>
      <c r="O5" s="35" t="n"/>
      <c r="P5" s="35" t="n"/>
      <c r="Q5" s="35" t="n"/>
      <c r="R5" s="35" t="n"/>
      <c r="S5" s="35" t="n"/>
      <c r="T5" s="35" t="n"/>
      <c r="U5" s="35" t="n"/>
      <c r="V5" s="35" t="n"/>
      <c r="W5" s="35" t="n"/>
      <c r="X5" s="35" t="n"/>
      <c r="Y5" s="35" t="n"/>
      <c r="Z5" s="35" t="n"/>
      <c r="AA5" s="35" t="n"/>
      <c r="AB5" s="35" t="n"/>
      <c r="AC5" s="35" t="n"/>
      <c r="AD5" s="35" t="n"/>
      <c r="AE5" s="35" t="n"/>
      <c r="AF5" s="35" t="n"/>
      <c r="AG5" s="35" t="n"/>
      <c r="AH5" s="35" t="n"/>
      <c r="AI5" s="35" t="n"/>
      <c r="AJ5" s="35" t="n"/>
      <c r="AK5" s="35" t="n"/>
      <c r="AL5" s="35" t="n"/>
      <c r="AM5" s="35" t="n"/>
      <c r="AN5" s="35" t="n"/>
      <c r="AO5" s="35" t="n"/>
      <c r="AP5" s="35" t="n"/>
      <c r="AQ5" s="35" t="n"/>
      <c r="AR5" s="35" t="n"/>
      <c r="AS5" s="35" t="n"/>
      <c r="AT5" s="35" t="n"/>
      <c r="AU5" s="35" t="n"/>
      <c r="AV5" s="35" t="n"/>
      <c r="AW5" s="35" t="n"/>
      <c r="AX5" s="35" t="n"/>
      <c r="AY5" s="35" t="n"/>
      <c r="AZ5" s="35" t="n"/>
      <c r="BA5" s="35" t="n"/>
      <c r="BB5" s="35" t="n"/>
    </row>
    <row r="6">
      <c r="A6" s="15">
        <f>'設定'!B10</f>
        <v/>
      </c>
      <c r="B6" s="35" t="n"/>
      <c r="C6" s="35" t="n"/>
      <c r="D6" s="35" t="n"/>
      <c r="E6" s="35" t="n"/>
      <c r="F6" s="35" t="n"/>
      <c r="G6" s="35" t="n"/>
      <c r="H6" s="35" t="n"/>
      <c r="I6" s="35" t="n"/>
      <c r="J6" s="35" t="n"/>
      <c r="K6" s="35" t="n"/>
      <c r="L6" s="35" t="n"/>
      <c r="M6" s="35" t="n"/>
      <c r="N6" s="35" t="n"/>
      <c r="O6" s="35" t="n"/>
      <c r="P6" s="35" t="n"/>
      <c r="Q6" s="35" t="n"/>
      <c r="R6" s="35" t="n"/>
      <c r="S6" s="35" t="n"/>
      <c r="T6" s="35" t="n"/>
      <c r="U6" s="35" t="n"/>
      <c r="V6" s="35" t="n"/>
      <c r="W6" s="35" t="n"/>
      <c r="X6" s="35" t="n"/>
      <c r="Y6" s="35" t="n"/>
      <c r="Z6" s="35" t="n"/>
      <c r="AA6" s="35" t="n"/>
      <c r="AB6" s="35" t="n"/>
      <c r="AC6" s="35" t="n"/>
      <c r="AD6" s="35" t="n"/>
      <c r="AE6" s="35" t="n"/>
      <c r="AF6" s="35" t="n"/>
      <c r="AG6" s="35" t="n"/>
      <c r="AH6" s="35" t="n"/>
      <c r="AI6" s="35" t="n"/>
      <c r="AJ6" s="35" t="n"/>
      <c r="AK6" s="35" t="n"/>
      <c r="AL6" s="35" t="n"/>
      <c r="AM6" s="35" t="n"/>
      <c r="AN6" s="35" t="n"/>
      <c r="AO6" s="35" t="n"/>
      <c r="AP6" s="35" t="n"/>
      <c r="AQ6" s="35" t="n"/>
      <c r="AR6" s="35" t="n"/>
      <c r="AS6" s="35" t="n"/>
      <c r="AT6" s="35" t="n"/>
      <c r="AU6" s="35" t="n"/>
      <c r="AV6" s="35" t="n"/>
      <c r="AW6" s="35" t="n"/>
      <c r="AX6" s="35" t="n"/>
      <c r="AY6" s="35" t="n"/>
      <c r="AZ6" s="35" t="n"/>
      <c r="BA6" s="35" t="n"/>
      <c r="BB6" s="35" t="n"/>
    </row>
    <row r="7">
      <c r="A7" s="15">
        <f>'設定'!B11</f>
        <v/>
      </c>
      <c r="B7" s="35" t="n"/>
      <c r="C7" s="35" t="n"/>
      <c r="D7" s="35" t="n"/>
      <c r="E7" s="35" t="n"/>
      <c r="F7" s="35" t="n"/>
      <c r="G7" s="35" t="n"/>
      <c r="H7" s="35" t="n"/>
      <c r="I7" s="35" t="n"/>
      <c r="J7" s="35" t="n"/>
      <c r="K7" s="35" t="n"/>
      <c r="L7" s="35" t="n"/>
      <c r="M7" s="35" t="n"/>
      <c r="N7" s="35" t="n"/>
      <c r="O7" s="35" t="n"/>
      <c r="P7" s="35" t="n"/>
      <c r="Q7" s="35" t="n"/>
      <c r="R7" s="35" t="n"/>
      <c r="S7" s="35" t="n"/>
      <c r="T7" s="35" t="n"/>
      <c r="U7" s="35" t="n"/>
      <c r="V7" s="35" t="n"/>
      <c r="W7" s="35" t="n"/>
      <c r="X7" s="35" t="n"/>
      <c r="Y7" s="35" t="n"/>
      <c r="Z7" s="35" t="n"/>
      <c r="AA7" s="35" t="n"/>
      <c r="AB7" s="35" t="n"/>
      <c r="AC7" s="35" t="n"/>
      <c r="AD7" s="35" t="n"/>
      <c r="AE7" s="35" t="n"/>
      <c r="AF7" s="35" t="n"/>
      <c r="AG7" s="35" t="n"/>
      <c r="AH7" s="35" t="n"/>
      <c r="AI7" s="35" t="n"/>
      <c r="AJ7" s="35" t="n"/>
      <c r="AK7" s="35" t="n"/>
      <c r="AL7" s="35" t="n"/>
      <c r="AM7" s="35" t="n"/>
      <c r="AN7" s="35" t="n"/>
      <c r="AO7" s="35" t="n"/>
      <c r="AP7" s="35" t="n"/>
      <c r="AQ7" s="35" t="n"/>
      <c r="AR7" s="35" t="n"/>
      <c r="AS7" s="35" t="n"/>
      <c r="AT7" s="35" t="n"/>
      <c r="AU7" s="35" t="n"/>
      <c r="AV7" s="35" t="n"/>
      <c r="AW7" s="35" t="n"/>
      <c r="AX7" s="35" t="n"/>
      <c r="AY7" s="35" t="n"/>
      <c r="AZ7" s="35" t="n"/>
      <c r="BA7" s="35" t="n"/>
      <c r="BB7" s="35" t="n"/>
    </row>
    <row r="8">
      <c r="A8" s="15">
        <f>'設定'!B12</f>
        <v/>
      </c>
      <c r="B8" s="35" t="n"/>
      <c r="C8" s="35" t="n"/>
      <c r="D8" s="35" t="n"/>
      <c r="E8" s="35" t="n"/>
      <c r="F8" s="35" t="n"/>
      <c r="G8" s="35" t="n"/>
      <c r="H8" s="35" t="n"/>
      <c r="I8" s="35" t="n"/>
      <c r="J8" s="35" t="n"/>
      <c r="K8" s="35" t="n"/>
      <c r="L8" s="35" t="n"/>
      <c r="M8" s="35" t="n"/>
      <c r="N8" s="35" t="n"/>
      <c r="O8" s="35" t="n"/>
      <c r="P8" s="35" t="n"/>
      <c r="Q8" s="35" t="n"/>
      <c r="R8" s="35" t="n"/>
      <c r="S8" s="35" t="n"/>
      <c r="T8" s="35" t="n"/>
      <c r="U8" s="35" t="n"/>
      <c r="V8" s="35" t="n"/>
      <c r="W8" s="35" t="n"/>
      <c r="X8" s="35" t="n"/>
      <c r="Y8" s="35" t="n"/>
      <c r="Z8" s="35" t="n"/>
      <c r="AA8" s="35" t="n"/>
      <c r="AB8" s="35" t="n"/>
      <c r="AC8" s="35" t="n"/>
      <c r="AD8" s="35" t="n"/>
      <c r="AE8" s="35" t="n"/>
      <c r="AF8" s="35" t="n"/>
      <c r="AG8" s="35" t="n"/>
      <c r="AH8" s="35" t="n"/>
      <c r="AI8" s="35" t="n"/>
      <c r="AJ8" s="35" t="n"/>
      <c r="AK8" s="35" t="n"/>
      <c r="AL8" s="35" t="n"/>
      <c r="AM8" s="35" t="n"/>
      <c r="AN8" s="35" t="n"/>
      <c r="AO8" s="35" t="n"/>
      <c r="AP8" s="35" t="n"/>
      <c r="AQ8" s="35" t="n"/>
      <c r="AR8" s="35" t="n"/>
      <c r="AS8" s="35" t="n"/>
      <c r="AT8" s="35" t="n"/>
      <c r="AU8" s="35" t="n"/>
      <c r="AV8" s="35" t="n"/>
      <c r="AW8" s="35" t="n"/>
      <c r="AX8" s="35" t="n"/>
      <c r="AY8" s="35" t="n"/>
      <c r="AZ8" s="35" t="n"/>
      <c r="BA8" s="35" t="n"/>
      <c r="BB8" s="35" t="n"/>
    </row>
    <row r="9">
      <c r="A9" s="15">
        <f>'設定'!B13</f>
        <v/>
      </c>
      <c r="B9" s="35" t="n"/>
      <c r="C9" s="35" t="n"/>
      <c r="D9" s="35" t="n"/>
      <c r="E9" s="35" t="n"/>
      <c r="F9" s="35" t="n"/>
      <c r="G9" s="35" t="n"/>
      <c r="H9" s="35" t="n"/>
      <c r="I9" s="35" t="n"/>
      <c r="J9" s="35" t="n"/>
      <c r="K9" s="35" t="n"/>
      <c r="L9" s="35" t="n"/>
      <c r="M9" s="35" t="n"/>
      <c r="N9" s="35" t="n"/>
      <c r="O9" s="35" t="n"/>
      <c r="P9" s="35" t="n"/>
      <c r="Q9" s="35" t="n"/>
      <c r="R9" s="35" t="n"/>
      <c r="S9" s="35" t="n"/>
      <c r="T9" s="35" t="n"/>
      <c r="U9" s="35" t="n"/>
      <c r="V9" s="35" t="n"/>
      <c r="W9" s="35" t="n"/>
      <c r="X9" s="35" t="n"/>
      <c r="Y9" s="35" t="n"/>
      <c r="Z9" s="35" t="n"/>
      <c r="AA9" s="35" t="n"/>
      <c r="AB9" s="35" t="n"/>
      <c r="AC9" s="35" t="n"/>
      <c r="AD9" s="35" t="n"/>
      <c r="AE9" s="35" t="n"/>
      <c r="AF9" s="35" t="n"/>
      <c r="AG9" s="35" t="n"/>
      <c r="AH9" s="35" t="n"/>
      <c r="AI9" s="35" t="n"/>
      <c r="AJ9" s="35" t="n"/>
      <c r="AK9" s="35" t="n"/>
      <c r="AL9" s="35" t="n"/>
      <c r="AM9" s="35" t="n"/>
      <c r="AN9" s="35" t="n"/>
      <c r="AO9" s="35" t="n"/>
      <c r="AP9" s="35" t="n"/>
      <c r="AQ9" s="35" t="n"/>
      <c r="AR9" s="35" t="n"/>
      <c r="AS9" s="35" t="n"/>
      <c r="AT9" s="35" t="n"/>
      <c r="AU9" s="35" t="n"/>
      <c r="AV9" s="35" t="n"/>
      <c r="AW9" s="35" t="n"/>
      <c r="AX9" s="35" t="n"/>
      <c r="AY9" s="35" t="n"/>
      <c r="AZ9" s="35" t="n"/>
      <c r="BA9" s="35" t="n"/>
      <c r="BB9" s="35" t="n"/>
    </row>
    <row r="10">
      <c r="A10" s="15">
        <f>'設定'!B14</f>
        <v/>
      </c>
      <c r="B10" s="35" t="n"/>
      <c r="C10" s="35" t="n"/>
      <c r="D10" s="35" t="n"/>
      <c r="E10" s="35" t="n"/>
      <c r="F10" s="35" t="n"/>
      <c r="G10" s="35" t="n"/>
      <c r="H10" s="35" t="n"/>
      <c r="I10" s="35" t="n"/>
      <c r="J10" s="35" t="n"/>
      <c r="K10" s="35" t="n"/>
      <c r="L10" s="35" t="n"/>
      <c r="M10" s="35" t="n"/>
      <c r="N10" s="35" t="n"/>
      <c r="O10" s="35" t="n"/>
      <c r="P10" s="35" t="n"/>
      <c r="Q10" s="35" t="n"/>
      <c r="R10" s="35" t="n"/>
      <c r="S10" s="35" t="n"/>
      <c r="T10" s="35" t="n"/>
      <c r="U10" s="35" t="n"/>
      <c r="V10" s="35" t="n"/>
      <c r="W10" s="35" t="n"/>
      <c r="X10" s="35" t="n"/>
      <c r="Y10" s="35" t="n"/>
      <c r="Z10" s="35" t="n"/>
      <c r="AA10" s="35" t="n"/>
      <c r="AB10" s="35" t="n"/>
      <c r="AC10" s="35" t="n"/>
      <c r="AD10" s="35" t="n"/>
      <c r="AE10" s="35" t="n"/>
      <c r="AF10" s="35" t="n"/>
      <c r="AG10" s="35" t="n"/>
      <c r="AH10" s="35" t="n"/>
      <c r="AI10" s="35" t="n"/>
      <c r="AJ10" s="35" t="n"/>
      <c r="AK10" s="35" t="n"/>
      <c r="AL10" s="35" t="n"/>
      <c r="AM10" s="35" t="n"/>
      <c r="AN10" s="35" t="n"/>
      <c r="AO10" s="35" t="n"/>
      <c r="AP10" s="35" t="n"/>
      <c r="AQ10" s="35" t="n"/>
      <c r="AR10" s="35" t="n"/>
      <c r="AS10" s="35" t="n"/>
      <c r="AT10" s="35" t="n"/>
      <c r="AU10" s="35" t="n"/>
      <c r="AV10" s="35" t="n"/>
      <c r="AW10" s="35" t="n"/>
      <c r="AX10" s="35" t="n"/>
      <c r="AY10" s="35" t="n"/>
      <c r="AZ10" s="35" t="n"/>
      <c r="BA10" s="35" t="n"/>
      <c r="BB10" s="35" t="n"/>
    </row>
  </sheetData>
  <mergeCells count="2">
    <mergeCell ref="A2:H2"/>
    <mergeCell ref="A1:H1"/>
  </mergeCells>
  <dataValidations count="1">
    <dataValidation sqref="B5:BB10" showDropDown="0" showInputMessage="0" showErrorMessage="0" allowBlank="1" type="list">
      <formula1>"AL,SL"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0"/>
  <sheetViews>
    <sheetView workbookViewId="0">
      <selection activeCell="A1" sqref="A1"/>
    </sheetView>
  </sheetViews>
  <sheetFormatPr baseColWidth="8" defaultRowHeight="15"/>
  <cols>
    <col width="14" customWidth="1" min="1" max="1"/>
    <col width="36" customWidth="1" min="2" max="2"/>
    <col width="14" customWidth="1" min="3" max="3"/>
  </cols>
  <sheetData>
    <row r="1">
      <c r="A1" s="1" t="inlineStr">
        <is>
          <t>公眾假期資料表</t>
        </is>
      </c>
    </row>
    <row r="2">
      <c r="A2" s="31" t="inlineStr">
        <is>
          <t>每年年頭在此表底部追加新一年假期即可；主表標色與補假計算會自動延續。請勿刪除表頭。</t>
        </is>
      </c>
    </row>
    <row r="4">
      <c r="A4" s="19" t="inlineStr">
        <is>
          <t>日期</t>
        </is>
      </c>
      <c r="B4" s="19" t="inlineStr">
        <is>
          <t>假期名稱</t>
        </is>
      </c>
      <c r="C4" s="19" t="inlineStr">
        <is>
          <t>年份（自動）</t>
        </is>
      </c>
    </row>
    <row r="5">
      <c r="A5" s="41" t="n">
        <v>46023</v>
      </c>
      <c r="B5" s="42" t="inlineStr">
        <is>
          <t>元旦</t>
        </is>
      </c>
      <c r="C5" s="42">
        <f>IF(A5="","",YEAR(A5))</f>
        <v/>
      </c>
    </row>
    <row r="6">
      <c r="A6" s="41" t="n">
        <v>46070</v>
      </c>
      <c r="B6" s="42" t="inlineStr">
        <is>
          <t>農曆年初一</t>
        </is>
      </c>
      <c r="C6" s="42">
        <f>IF(A6="","",YEAR(A6))</f>
        <v/>
      </c>
    </row>
    <row r="7">
      <c r="A7" s="41" t="n">
        <v>46071</v>
      </c>
      <c r="B7" s="42" t="inlineStr">
        <is>
          <t>農曆年初二</t>
        </is>
      </c>
      <c r="C7" s="42">
        <f>IF(A7="","",YEAR(A7))</f>
        <v/>
      </c>
    </row>
    <row r="8">
      <c r="A8" s="41" t="n">
        <v>46072</v>
      </c>
      <c r="B8" s="42" t="inlineStr">
        <is>
          <t>農曆年初三</t>
        </is>
      </c>
      <c r="C8" s="42">
        <f>IF(A8="","",YEAR(A8))</f>
        <v/>
      </c>
    </row>
    <row r="9">
      <c r="A9" s="41" t="n">
        <v>46115</v>
      </c>
      <c r="B9" s="42" t="inlineStr">
        <is>
          <t>耶穌受難節前一日</t>
        </is>
      </c>
      <c r="C9" s="42">
        <f>IF(A9="","",YEAR(A9))</f>
        <v/>
      </c>
    </row>
    <row r="10">
      <c r="A10" s="41" t="n">
        <v>46116</v>
      </c>
      <c r="B10" s="42" t="inlineStr">
        <is>
          <t>耶穌受難節</t>
        </is>
      </c>
      <c r="C10" s="42">
        <f>IF(A10="","",YEAR(A10))</f>
        <v/>
      </c>
    </row>
    <row r="11">
      <c r="A11" s="41" t="n">
        <v>46118</v>
      </c>
      <c r="B11" s="42" t="inlineStr">
        <is>
          <t>復活節星期一</t>
        </is>
      </c>
      <c r="C11" s="42">
        <f>IF(A11="","",YEAR(A11))</f>
        <v/>
      </c>
    </row>
    <row r="12">
      <c r="A12" s="41" t="n">
        <v>46143</v>
      </c>
      <c r="B12" s="42" t="inlineStr">
        <is>
          <t>勞動節</t>
        </is>
      </c>
      <c r="C12" s="42">
        <f>IF(A12="","",YEAR(A12))</f>
        <v/>
      </c>
    </row>
    <row r="13">
      <c r="A13" s="41" t="n">
        <v>46167</v>
      </c>
      <c r="B13" s="42" t="inlineStr">
        <is>
          <t>佛誕</t>
        </is>
      </c>
      <c r="C13" s="42">
        <f>IF(A13="","",YEAR(A13))</f>
        <v/>
      </c>
    </row>
    <row r="14">
      <c r="A14" s="41" t="n">
        <v>46192</v>
      </c>
      <c r="B14" s="42" t="inlineStr">
        <is>
          <t>端午節</t>
        </is>
      </c>
      <c r="C14" s="42">
        <f>IF(A14="","",YEAR(A14))</f>
        <v/>
      </c>
    </row>
    <row r="15">
      <c r="A15" s="41" t="n">
        <v>46204</v>
      </c>
      <c r="B15" s="42" t="inlineStr">
        <is>
          <t>香港特別行政區成立紀念日</t>
        </is>
      </c>
      <c r="C15" s="42">
        <f>IF(A15="","",YEAR(A15))</f>
        <v/>
      </c>
    </row>
    <row r="16">
      <c r="A16" s="41" t="n">
        <v>46291</v>
      </c>
      <c r="B16" s="42" t="inlineStr">
        <is>
          <t>中秋節翌日</t>
        </is>
      </c>
      <c r="C16" s="42">
        <f>IF(A16="","",YEAR(A16))</f>
        <v/>
      </c>
    </row>
    <row r="17">
      <c r="A17" s="41" t="n">
        <v>46296</v>
      </c>
      <c r="B17" s="42" t="inlineStr">
        <is>
          <t>國慶日</t>
        </is>
      </c>
      <c r="C17" s="42">
        <f>IF(A17="","",YEAR(A17))</f>
        <v/>
      </c>
    </row>
    <row r="18">
      <c r="A18" s="41" t="n">
        <v>46314</v>
      </c>
      <c r="B18" s="42" t="inlineStr">
        <is>
          <t>重陽節</t>
        </is>
      </c>
      <c r="C18" s="42">
        <f>IF(A18="","",YEAR(A18))</f>
        <v/>
      </c>
    </row>
    <row r="19">
      <c r="A19" s="41" t="n">
        <v>46381</v>
      </c>
      <c r="B19" s="42" t="inlineStr">
        <is>
          <t>聖誕節</t>
        </is>
      </c>
      <c r="C19" s="42">
        <f>IF(A19="","",YEAR(A19))</f>
        <v/>
      </c>
    </row>
    <row r="20">
      <c r="A20" s="41" t="n">
        <v>46382</v>
      </c>
      <c r="B20" s="42" t="inlineStr">
        <is>
          <t>聖誕節後第一個周日</t>
        </is>
      </c>
      <c r="C20" s="42">
        <f>IF(A20="","",YEAR(A20))</f>
        <v/>
      </c>
    </row>
    <row r="21">
      <c r="A21" s="43" t="n"/>
      <c r="B21" s="33" t="n"/>
      <c r="C21" s="42">
        <f>IF(A21="","",YEAR(A21))</f>
        <v/>
      </c>
    </row>
    <row r="22">
      <c r="A22" s="43" t="n"/>
      <c r="B22" s="33" t="n"/>
      <c r="C22" s="42">
        <f>IF(A22="","",YEAR(A22))</f>
        <v/>
      </c>
    </row>
    <row r="23">
      <c r="A23" s="43" t="n"/>
      <c r="B23" s="33" t="n"/>
      <c r="C23" s="42">
        <f>IF(A23="","",YEAR(A23))</f>
        <v/>
      </c>
    </row>
    <row r="24">
      <c r="A24" s="43" t="n"/>
      <c r="B24" s="33" t="n"/>
      <c r="C24" s="42">
        <f>IF(A24="","",YEAR(A24))</f>
        <v/>
      </c>
    </row>
    <row r="25">
      <c r="A25" s="43" t="n"/>
      <c r="B25" s="33" t="n"/>
      <c r="C25" s="42">
        <f>IF(A25="","",YEAR(A25))</f>
        <v/>
      </c>
    </row>
    <row r="26">
      <c r="A26" s="43" t="n"/>
      <c r="B26" s="33" t="n"/>
      <c r="C26" s="42">
        <f>IF(A26="","",YEAR(A26))</f>
        <v/>
      </c>
    </row>
    <row r="27">
      <c r="A27" s="43" t="n"/>
      <c r="B27" s="33" t="n"/>
      <c r="C27" s="42">
        <f>IF(A27="","",YEAR(A27))</f>
        <v/>
      </c>
    </row>
    <row r="28">
      <c r="A28" s="43" t="n"/>
      <c r="B28" s="33" t="n"/>
      <c r="C28" s="42">
        <f>IF(A28="","",YEAR(A28))</f>
        <v/>
      </c>
    </row>
    <row r="29">
      <c r="A29" s="43" t="n"/>
      <c r="B29" s="33" t="n"/>
      <c r="C29" s="42">
        <f>IF(A29="","",YEAR(A29))</f>
        <v/>
      </c>
    </row>
    <row r="30">
      <c r="A30" s="43" t="n"/>
      <c r="B30" s="33" t="n"/>
      <c r="C30" s="42">
        <f>IF(A30="","",YEAR(A30))</f>
        <v/>
      </c>
    </row>
    <row r="31">
      <c r="A31" s="43" t="n"/>
      <c r="B31" s="33" t="n"/>
      <c r="C31" s="42">
        <f>IF(A31="","",YEAR(A31))</f>
        <v/>
      </c>
    </row>
    <row r="32">
      <c r="A32" s="43" t="n"/>
      <c r="B32" s="33" t="n"/>
      <c r="C32" s="42">
        <f>IF(A32="","",YEAR(A32))</f>
        <v/>
      </c>
    </row>
    <row r="33">
      <c r="A33" s="43" t="n"/>
      <c r="B33" s="33" t="n"/>
      <c r="C33" s="42">
        <f>IF(A33="","",YEAR(A33))</f>
        <v/>
      </c>
    </row>
    <row r="34">
      <c r="A34" s="43" t="n"/>
      <c r="B34" s="33" t="n"/>
      <c r="C34" s="42">
        <f>IF(A34="","",YEAR(A34))</f>
        <v/>
      </c>
    </row>
    <row r="35">
      <c r="A35" s="43" t="n"/>
      <c r="B35" s="33" t="n"/>
      <c r="C35" s="42">
        <f>IF(A35="","",YEAR(A35))</f>
        <v/>
      </c>
    </row>
    <row r="36">
      <c r="A36" s="43" t="n"/>
      <c r="B36" s="33" t="n"/>
      <c r="C36" s="42">
        <f>IF(A36="","",YEAR(A36))</f>
        <v/>
      </c>
    </row>
    <row r="37">
      <c r="A37" s="43" t="n"/>
      <c r="B37" s="33" t="n"/>
      <c r="C37" s="42">
        <f>IF(A37="","",YEAR(A37))</f>
        <v/>
      </c>
    </row>
    <row r="38">
      <c r="A38" s="43" t="n"/>
      <c r="B38" s="33" t="n"/>
      <c r="C38" s="42">
        <f>IF(A38="","",YEAR(A38))</f>
        <v/>
      </c>
    </row>
    <row r="39">
      <c r="A39" s="43" t="n"/>
      <c r="B39" s="33" t="n"/>
      <c r="C39" s="42">
        <f>IF(A39="","",YEAR(A39))</f>
        <v/>
      </c>
    </row>
    <row r="40">
      <c r="A40" s="43" t="n"/>
      <c r="B40" s="33" t="n"/>
      <c r="C40" s="42">
        <f>IF(A40="","",YEAR(A40))</f>
        <v/>
      </c>
    </row>
    <row r="41">
      <c r="A41" s="43" t="n"/>
      <c r="B41" s="33" t="n"/>
      <c r="C41" s="42">
        <f>IF(A41="","",YEAR(A41))</f>
        <v/>
      </c>
    </row>
    <row r="42">
      <c r="A42" s="43" t="n"/>
      <c r="B42" s="33" t="n"/>
      <c r="C42" s="42">
        <f>IF(A42="","",YEAR(A42))</f>
        <v/>
      </c>
    </row>
    <row r="43">
      <c r="A43" s="43" t="n"/>
      <c r="B43" s="33" t="n"/>
      <c r="C43" s="42">
        <f>IF(A43="","",YEAR(A43))</f>
        <v/>
      </c>
    </row>
    <row r="44">
      <c r="A44" s="43" t="n"/>
      <c r="B44" s="33" t="n"/>
      <c r="C44" s="42">
        <f>IF(A44="","",YEAR(A44))</f>
        <v/>
      </c>
    </row>
    <row r="45">
      <c r="A45" s="43" t="n"/>
      <c r="B45" s="33" t="n"/>
      <c r="C45" s="42">
        <f>IF(A45="","",YEAR(A45))</f>
        <v/>
      </c>
    </row>
    <row r="46">
      <c r="A46" s="43" t="n"/>
      <c r="B46" s="33" t="n"/>
      <c r="C46" s="42">
        <f>IF(A46="","",YEAR(A46))</f>
        <v/>
      </c>
    </row>
    <row r="47">
      <c r="A47" s="43" t="n"/>
      <c r="B47" s="33" t="n"/>
      <c r="C47" s="42">
        <f>IF(A47="","",YEAR(A47))</f>
        <v/>
      </c>
    </row>
    <row r="48">
      <c r="A48" s="43" t="n"/>
      <c r="B48" s="33" t="n"/>
      <c r="C48" s="42">
        <f>IF(A48="","",YEAR(A48))</f>
        <v/>
      </c>
    </row>
    <row r="49">
      <c r="A49" s="43" t="n"/>
      <c r="B49" s="33" t="n"/>
      <c r="C49" s="42">
        <f>IF(A49="","",YEAR(A49))</f>
        <v/>
      </c>
    </row>
    <row r="50">
      <c r="A50" s="43" t="n"/>
      <c r="B50" s="33" t="n"/>
      <c r="C50" s="42">
        <f>IF(A50="","",YEAR(A50))</f>
        <v/>
      </c>
    </row>
    <row r="51">
      <c r="A51" s="43" t="n"/>
      <c r="B51" s="33" t="n"/>
      <c r="C51" s="42">
        <f>IF(A51="","",YEAR(A51))</f>
        <v/>
      </c>
    </row>
    <row r="52">
      <c r="A52" s="43" t="n"/>
      <c r="B52" s="33" t="n"/>
      <c r="C52" s="42">
        <f>IF(A52="","",YEAR(A52))</f>
        <v/>
      </c>
    </row>
    <row r="53">
      <c r="A53" s="43" t="n"/>
      <c r="B53" s="33" t="n"/>
      <c r="C53" s="42">
        <f>IF(A53="","",YEAR(A53))</f>
        <v/>
      </c>
    </row>
    <row r="54">
      <c r="A54" s="43" t="n"/>
      <c r="B54" s="33" t="n"/>
      <c r="C54" s="42">
        <f>IF(A54="","",YEAR(A54))</f>
        <v/>
      </c>
    </row>
    <row r="55">
      <c r="A55" s="43" t="n"/>
      <c r="B55" s="33" t="n"/>
      <c r="C55" s="42">
        <f>IF(A55="","",YEAR(A55))</f>
        <v/>
      </c>
    </row>
    <row r="56">
      <c r="A56" s="43" t="n"/>
      <c r="B56" s="33" t="n"/>
      <c r="C56" s="42">
        <f>IF(A56="","",YEAR(A56))</f>
        <v/>
      </c>
    </row>
    <row r="57">
      <c r="A57" s="43" t="n"/>
      <c r="B57" s="33" t="n"/>
      <c r="C57" s="42">
        <f>IF(A57="","",YEAR(A57))</f>
        <v/>
      </c>
    </row>
    <row r="58">
      <c r="A58" s="43" t="n"/>
      <c r="B58" s="33" t="n"/>
      <c r="C58" s="42">
        <f>IF(A58="","",YEAR(A58))</f>
        <v/>
      </c>
    </row>
    <row r="59">
      <c r="A59" s="43" t="n"/>
      <c r="B59" s="33" t="n"/>
      <c r="C59" s="42">
        <f>IF(A59="","",YEAR(A59))</f>
        <v/>
      </c>
    </row>
    <row r="60">
      <c r="A60" s="43" t="n"/>
      <c r="B60" s="33" t="n"/>
      <c r="C60" s="42">
        <f>IF(A60="","",YEAR(A60))</f>
        <v/>
      </c>
    </row>
    <row r="61">
      <c r="A61" s="43" t="n"/>
      <c r="B61" s="33" t="n"/>
      <c r="C61" s="42">
        <f>IF(A61="","",YEAR(A61))</f>
        <v/>
      </c>
    </row>
    <row r="62">
      <c r="A62" s="43" t="n"/>
      <c r="B62" s="33" t="n"/>
      <c r="C62" s="42">
        <f>IF(A62="","",YEAR(A62))</f>
        <v/>
      </c>
    </row>
    <row r="63">
      <c r="A63" s="43" t="n"/>
      <c r="B63" s="33" t="n"/>
      <c r="C63" s="42">
        <f>IF(A63="","",YEAR(A63))</f>
        <v/>
      </c>
    </row>
    <row r="64">
      <c r="A64" s="43" t="n"/>
      <c r="B64" s="33" t="n"/>
      <c r="C64" s="42">
        <f>IF(A64="","",YEAR(A64))</f>
        <v/>
      </c>
    </row>
    <row r="65">
      <c r="A65" s="43" t="n"/>
      <c r="B65" s="33" t="n"/>
      <c r="C65" s="42">
        <f>IF(A65="","",YEAR(A65))</f>
        <v/>
      </c>
    </row>
    <row r="66">
      <c r="A66" s="43" t="n"/>
      <c r="B66" s="33" t="n"/>
      <c r="C66" s="42">
        <f>IF(A66="","",YEAR(A66))</f>
        <v/>
      </c>
    </row>
    <row r="67">
      <c r="A67" s="43" t="n"/>
      <c r="B67" s="33" t="n"/>
      <c r="C67" s="42">
        <f>IF(A67="","",YEAR(A67))</f>
        <v/>
      </c>
    </row>
    <row r="68">
      <c r="A68" s="43" t="n"/>
      <c r="B68" s="33" t="n"/>
      <c r="C68" s="42">
        <f>IF(A68="","",YEAR(A68))</f>
        <v/>
      </c>
    </row>
    <row r="69">
      <c r="A69" s="43" t="n"/>
      <c r="B69" s="33" t="n"/>
      <c r="C69" s="42">
        <f>IF(A69="","",YEAR(A69))</f>
        <v/>
      </c>
    </row>
    <row r="70">
      <c r="A70" s="43" t="n"/>
      <c r="B70" s="33" t="n"/>
      <c r="C70" s="42">
        <f>IF(A70="","",YEAR(A70))</f>
        <v/>
      </c>
    </row>
    <row r="71">
      <c r="A71" s="43" t="n"/>
      <c r="B71" s="33" t="n"/>
      <c r="C71" s="42">
        <f>IF(A71="","",YEAR(A71))</f>
        <v/>
      </c>
    </row>
    <row r="72">
      <c r="A72" s="43" t="n"/>
      <c r="B72" s="33" t="n"/>
      <c r="C72" s="42">
        <f>IF(A72="","",YEAR(A72))</f>
        <v/>
      </c>
    </row>
    <row r="73">
      <c r="A73" s="43" t="n"/>
      <c r="B73" s="33" t="n"/>
      <c r="C73" s="42">
        <f>IF(A73="","",YEAR(A73))</f>
        <v/>
      </c>
    </row>
    <row r="74">
      <c r="A74" s="43" t="n"/>
      <c r="B74" s="33" t="n"/>
      <c r="C74" s="42">
        <f>IF(A74="","",YEAR(A74))</f>
        <v/>
      </c>
    </row>
    <row r="75">
      <c r="A75" s="43" t="n"/>
      <c r="B75" s="33" t="n"/>
      <c r="C75" s="42">
        <f>IF(A75="","",YEAR(A75))</f>
        <v/>
      </c>
    </row>
    <row r="76">
      <c r="A76" s="43" t="n"/>
      <c r="B76" s="33" t="n"/>
      <c r="C76" s="42">
        <f>IF(A76="","",YEAR(A76))</f>
        <v/>
      </c>
    </row>
    <row r="77">
      <c r="A77" s="43" t="n"/>
      <c r="B77" s="33" t="n"/>
      <c r="C77" s="42">
        <f>IF(A77="","",YEAR(A77))</f>
        <v/>
      </c>
    </row>
    <row r="78">
      <c r="A78" s="43" t="n"/>
      <c r="B78" s="33" t="n"/>
      <c r="C78" s="42">
        <f>IF(A78="","",YEAR(A78))</f>
        <v/>
      </c>
    </row>
    <row r="79">
      <c r="A79" s="43" t="n"/>
      <c r="B79" s="33" t="n"/>
      <c r="C79" s="42">
        <f>IF(A79="","",YEAR(A79))</f>
        <v/>
      </c>
    </row>
    <row r="80">
      <c r="A80" s="43" t="n"/>
      <c r="B80" s="33" t="n"/>
      <c r="C80" s="42">
        <f>IF(A80="","",YEAR(A80))</f>
        <v/>
      </c>
    </row>
  </sheetData>
  <mergeCells count="2">
    <mergeCell ref="A1:C1"/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00" customWidth="1" min="1" max="1"/>
    <col width="20" customWidth="1" min="2" max="2"/>
  </cols>
  <sheetData>
    <row r="1">
      <c r="A1" s="1" t="inlineStr">
        <is>
          <t>部門更表模版 — 使用說明</t>
        </is>
      </c>
    </row>
    <row r="3">
      <c r="A3" s="44" t="inlineStr">
        <is>
          <t>一、每年年頭要做的兩件事</t>
        </is>
      </c>
    </row>
    <row r="4">
      <c r="A4" s="39" t="inlineStr">
        <is>
          <t>1. 打開「設定」工作表，把【顯示年份】改成新的年份（例如 2027）。</t>
        </is>
      </c>
    </row>
    <row r="5">
      <c r="A5" s="39" t="inlineStr">
        <is>
          <t xml:space="preserve">   → 排班表所有週份日期（約 52/53 個星期一）會用 DATE／WEEKDAY 自動重算，無需複製新表。</t>
        </is>
      </c>
    </row>
    <row r="6">
      <c r="A6" s="39" t="inlineStr">
        <is>
          <t>2. 打開「公眾假期」工作表，在清單下方空白列追加新一年的假期「日期」與「假期名稱」。</t>
        </is>
      </c>
    </row>
    <row r="7">
      <c r="A7" s="39" t="inlineStr">
        <is>
          <t xml:space="preserve">   → 主表淺紫標示、補假計算會自動讀取新資料。</t>
        </is>
      </c>
    </row>
    <row r="8">
      <c r="A8" s="39" t="inlineStr">
        <is>
          <t>3. 【輪班基準日】必須保持 2026-06-29 不變，否則全員輪班相位會錯位。</t>
        </is>
      </c>
    </row>
    <row r="9">
      <c r="A9" s="39" t="inlineStr">
        <is>
          <t>4. 換年前建議：把各人「累積補假結餘」數字抄到「期初補假」，再改年份（本年新增會依新表重算）。</t>
        </is>
      </c>
    </row>
    <row r="10">
      <c r="A10" s="39" t="inlineStr">
        <is>
          <t>5. 檢查「請假登錄」：換年後欄位對應新日期，請清除過期 AL/SL 或改填新一年請假。</t>
        </is>
      </c>
    </row>
    <row r="12">
      <c r="A12" s="44" t="inlineStr">
        <is>
          <t>二、人員流動（改姓名）</t>
        </is>
      </c>
    </row>
    <row r="13">
      <c r="A13" s="39" t="inlineStr">
        <is>
          <t>1. 只在「設定」工作表的六個姓名格修改；排班表、快覽區、請假登錄的姓名皆以公式連結，會自動更新。</t>
        </is>
      </c>
    </row>
    <row r="14">
      <c r="A14" s="39" t="inlineStr">
        <is>
          <t>2. 班次類型：S＝固定正常班；R＝參與輪班；V＝空缺。</t>
        </is>
      </c>
    </row>
    <row r="15">
      <c r="A15" s="39" t="inlineStr">
        <is>
          <t>3. 目前配置：ARTHUR＝S；PATRICK／CARREY／CESC／LUCAS＝R（Offset 0/4/8/12）；第六格＝空缺。</t>
        </is>
      </c>
    </row>
    <row r="17">
      <c r="A17" s="44" t="inlineStr">
        <is>
          <t>三、如何請年假／病假（AL／SL）</t>
        </is>
      </c>
    </row>
    <row r="18">
      <c r="A18" s="39" t="inlineStr">
        <is>
          <t>1. 到「請假登錄」工作表，在對應【人員 × 週份】格選擇或輸入 AL（年假）或 SL（病假）。</t>
        </is>
      </c>
    </row>
    <row r="19">
      <c r="A19" s="39" t="inlineStr">
        <is>
          <t>2. 排班表同一位置會自動以 AL/SL 覆蓋原本的 S/A/P/N。</t>
        </is>
      </c>
    </row>
    <row r="20">
      <c r="A20" s="39" t="inlineStr">
        <is>
          <t>3. 統計區「已用年假／已用病假」按顯示年份（本表週份）自動 COUNTIF；剩餘年假＝額度−已用。</t>
        </is>
      </c>
    </row>
    <row r="21">
      <c r="A21" s="39" t="inlineStr">
        <is>
          <t>4. 同一週若 AL+SL 合計超過 2 人，該週整欄會自動標紅警示。</t>
        </is>
      </c>
    </row>
    <row r="23">
      <c r="A23" s="44" t="inlineStr">
        <is>
          <t>四、16 週輪班循環與 Offset（永久有效）</t>
        </is>
      </c>
    </row>
    <row r="24">
      <c r="A24" s="39" t="inlineStr">
        <is>
          <t>1. 錨點：輪班基準日 = 2026/6/29（星期一）。此日期永久固定，跨年也不改。</t>
        </is>
      </c>
    </row>
    <row r="25">
      <c r="A25" s="39" t="inlineStr">
        <is>
          <t>2. 計算：週差 = INT((該週起始日 − 基準日)/7)；位置 = MOD(週差 + Offset, 16)。</t>
        </is>
      </c>
    </row>
    <row r="26">
      <c r="A26" s="39" t="inlineStr">
        <is>
          <t>3. 循環段落：0–3 週→A；4–7 週→P；8–11 週→N；12–15 週→P；然後回到 A。</t>
        </is>
      </c>
    </row>
    <row r="27">
      <c r="A27" s="39" t="inlineStr">
        <is>
          <t>4. Offset 0/4/8/12 錯開四人，保證任意一週 A、P、N 三班都有人當值（其中一段 P 會有兩人）。</t>
        </is>
      </c>
    </row>
    <row r="28">
      <c r="A28" s="39" t="inlineStr">
        <is>
          <t>5. 因用「與基準日相差週數」計算，換年不會重置循環，班次連續銜接。</t>
        </is>
      </c>
    </row>
    <row r="30">
      <c r="A30" s="44" t="inlineStr">
        <is>
          <t>五、新增第六人</t>
        </is>
      </c>
    </row>
    <row r="31">
      <c r="A31" s="39" t="inlineStr">
        <is>
          <t>1. 在「設定」第 6 列填入姓名。</t>
        </is>
      </c>
    </row>
    <row r="32">
      <c r="A32" s="39" t="inlineStr">
        <is>
          <t>2. 將「班次類型」由 V 改為 R（若要固定正常班則改 S）。</t>
        </is>
      </c>
    </row>
    <row r="33">
      <c r="A33" s="39" t="inlineStr">
        <is>
          <t>3. 設定 Offset：建議選尚未使用、且能維持 A/P/N 覆蓋的值；若維持四人輪班結構，可與其中一人錯開討論後再定。</t>
        </is>
      </c>
    </row>
    <row r="34">
      <c r="A34" s="39" t="inlineStr">
        <is>
          <t>4. 排班表該列公式已就緒，一有姓名即會顯示班次；並可在「請假登錄」為其登記 AL/SL。</t>
        </is>
      </c>
    </row>
    <row r="35">
      <c r="A35" s="39" t="inlineStr">
        <is>
          <t>5. 「期初補假」可按實際結餘填入；統計欄會自動啟用。</t>
        </is>
      </c>
    </row>
    <row r="37">
      <c r="A37" s="44" t="inlineStr">
        <is>
          <t>六、顏色圖例</t>
        </is>
      </c>
    </row>
    <row r="38">
      <c r="A38" s="39" t="inlineStr">
        <is>
          <t>S＝白（正常班）｜A＝灰（早班）｜P＝綠（中班）｜N＝藍（晚班）</t>
        </is>
      </c>
    </row>
    <row r="39">
      <c r="A39" s="39" t="inlineStr">
        <is>
          <t>AL＝黃（年假）｜SL＝橙（病假）｜公眾假期週＝表頭淺紫｜衝突週＝整欄紅底</t>
        </is>
      </c>
    </row>
    <row r="41">
      <c r="A41" s="44" t="inlineStr">
        <is>
          <t>七、工作表一覽</t>
        </is>
      </c>
    </row>
    <row r="42">
      <c r="A42" s="39" t="inlineStr">
        <is>
          <t>排班表 — 快覽＋全年主表＋統計（凍結首列區與姓名／統計欄）</t>
        </is>
      </c>
    </row>
    <row r="43">
      <c r="A43" s="39" t="inlineStr">
        <is>
          <t>設定 — 年份、基準日、年假額度、六人姓名／類型／Offset</t>
        </is>
      </c>
    </row>
    <row r="44">
      <c r="A44" s="39" t="inlineStr">
        <is>
          <t>請假登錄 — 輸入 AL/SL</t>
        </is>
      </c>
    </row>
    <row r="45">
      <c r="A45" s="39" t="inlineStr">
        <is>
          <t>公眾假期 — 每年追加假期清單</t>
        </is>
      </c>
    </row>
    <row r="46">
      <c r="A46" s="39" t="inlineStr">
        <is>
          <t>使用說明 — 本頁</t>
        </is>
      </c>
    </row>
  </sheetData>
  <mergeCells count="39">
    <mergeCell ref="A24:B24"/>
    <mergeCell ref="A30:B30"/>
    <mergeCell ref="A15:B15"/>
    <mergeCell ref="A45:B45"/>
    <mergeCell ref="A1:B1"/>
    <mergeCell ref="A6:B6"/>
    <mergeCell ref="A7:B7"/>
    <mergeCell ref="A25:B25"/>
    <mergeCell ref="A41:B41"/>
    <mergeCell ref="A37:B37"/>
    <mergeCell ref="A46:B46"/>
    <mergeCell ref="A18:B18"/>
    <mergeCell ref="A27:B27"/>
    <mergeCell ref="A3:B3"/>
    <mergeCell ref="A12:B12"/>
    <mergeCell ref="A26:B26"/>
    <mergeCell ref="A21:B21"/>
    <mergeCell ref="A33:B33"/>
    <mergeCell ref="A5:B5"/>
    <mergeCell ref="A42:B42"/>
    <mergeCell ref="A32:B32"/>
    <mergeCell ref="A14:B14"/>
    <mergeCell ref="A23:B23"/>
    <mergeCell ref="A17:B17"/>
    <mergeCell ref="A8:B8"/>
    <mergeCell ref="A35:B35"/>
    <mergeCell ref="A4:B4"/>
    <mergeCell ref="A20:B20"/>
    <mergeCell ref="A38:B38"/>
    <mergeCell ref="A43:B43"/>
    <mergeCell ref="A19:B19"/>
    <mergeCell ref="A10:B10"/>
    <mergeCell ref="A28:B28"/>
    <mergeCell ref="A13:B13"/>
    <mergeCell ref="A44:B44"/>
    <mergeCell ref="A9:B9"/>
    <mergeCell ref="A31:B31"/>
    <mergeCell ref="A39:B39"/>
    <mergeCell ref="A34:B3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2026-07-23T12:45:55Z</dcterms:created>
  <dcterms:modified xsi:type="dcterms:W3CDTF">2026-07-23T12:45:55Z</dcterms:modified>
</cp:coreProperties>
</file>